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A6375622-395D-4484-A2F3-E9461A4C7BB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175" i="1" l="1"/>
  <c r="U173" i="1"/>
  <c r="U171" i="1"/>
  <c r="U169" i="1"/>
  <c r="U167" i="1"/>
  <c r="U165" i="1"/>
  <c r="U163" i="1"/>
  <c r="U161" i="1"/>
  <c r="U159" i="1"/>
  <c r="U157" i="1"/>
  <c r="U155" i="1"/>
  <c r="U153" i="1"/>
  <c r="U151" i="1"/>
  <c r="U149" i="1"/>
  <c r="U147" i="1"/>
  <c r="U145" i="1"/>
  <c r="U143" i="1"/>
  <c r="U141" i="1"/>
  <c r="U139" i="1"/>
  <c r="U137" i="1"/>
  <c r="U135" i="1"/>
  <c r="U133" i="1"/>
  <c r="U131" i="1"/>
  <c r="U129" i="1"/>
  <c r="U127" i="1"/>
  <c r="U125" i="1"/>
  <c r="U123" i="1"/>
  <c r="U121" i="1"/>
  <c r="U119" i="1"/>
  <c r="U117" i="1"/>
  <c r="U115" i="1"/>
  <c r="U113" i="1"/>
  <c r="U111" i="1"/>
  <c r="U109" i="1"/>
  <c r="U107" i="1"/>
  <c r="U105" i="1"/>
  <c r="U103" i="1"/>
  <c r="U101" i="1"/>
  <c r="U99" i="1"/>
  <c r="U97" i="1"/>
  <c r="U95" i="1"/>
  <c r="U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U5" i="1"/>
  <c r="N2" i="1" l="1"/>
</calcChain>
</file>

<file path=xl/sharedStrings.xml><?xml version="1.0" encoding="utf-8"?>
<sst xmlns="http://schemas.openxmlformats.org/spreadsheetml/2006/main" count="456" uniqueCount="286">
  <si>
    <t>COTAÇÃO — SUPERMERCADO SZ</t>
  </si>
  <si>
    <t>Mês: SET/2026</t>
  </si>
  <si>
    <t>Total de produtos:</t>
  </si>
  <si>
    <t>Valor total estimado:</t>
  </si>
  <si>
    <t>COD</t>
  </si>
  <si>
    <t>PRODUTO</t>
  </si>
  <si>
    <t>E/S</t>
  </si>
  <si>
    <t>2025</t>
  </si>
  <si>
    <t>2026</t>
  </si>
  <si>
    <t>ESTOQ</t>
  </si>
  <si>
    <t>CX</t>
  </si>
  <si>
    <t>SUG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</si>
  <si>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</si>
  <si>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</si>
  <si>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</si>
  <si>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</si>
  <si>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</si>
  <si>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</si>
  <si>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</si>
  <si>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</si>
  <si>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</si>
  <si>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</si>
  <si>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</si>
  <si>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</si>
  <si>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</si>
  <si>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</si>
  <si>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34976</t>
  </si>
  <si>
    <t>ALBUM  FIGURINHAS PANINI FIFA COPA 2026</t>
  </si>
  <si>
    <t>E</t>
  </si>
  <si>
    <t>9786555165753</t>
  </si>
  <si>
    <t>S</t>
  </si>
  <si>
    <t>13456</t>
  </si>
  <si>
    <t>ASSADEIRA MARINEX RET 5L C/TAMPA</t>
  </si>
  <si>
    <t>7894993171907</t>
  </si>
  <si>
    <t>35042</t>
  </si>
  <si>
    <t>BISNAGA P/MOLHO SORT UNITER</t>
  </si>
  <si>
    <t>7898663745108</t>
  </si>
  <si>
    <t>31671</t>
  </si>
  <si>
    <t>CAIXA TERMICA UNITERMI FLORIPA 30L AZUL</t>
  </si>
  <si>
    <t>7898955019634</t>
  </si>
  <si>
    <t>20773</t>
  </si>
  <si>
    <t>CANECA VIDRO ASPEN NADIR  300ML</t>
  </si>
  <si>
    <t>7891155029809</t>
  </si>
  <si>
    <t>8769</t>
  </si>
  <si>
    <t>CHUVEIRO LORENZETTI MAXI DUCHA 4600W220V</t>
  </si>
  <si>
    <t>7896451824790</t>
  </si>
  <si>
    <t>4174</t>
  </si>
  <si>
    <t>COLA DUREPOXI MASSA 100GR</t>
  </si>
  <si>
    <t>7891200007899</t>
  </si>
  <si>
    <t>6468</t>
  </si>
  <si>
    <t>COLA GEL SUPER BONDER 2GR SM POWER FLEX</t>
  </si>
  <si>
    <t>7891200012572</t>
  </si>
  <si>
    <t>3478</t>
  </si>
  <si>
    <t>COLA SUPER BONDER 5G</t>
  </si>
  <si>
    <t>7891200234257</t>
  </si>
  <si>
    <t>22026</t>
  </si>
  <si>
    <t>COLA THREE BONDSUPER GEL 3G</t>
  </si>
  <si>
    <t>7896020470472</t>
  </si>
  <si>
    <t>6318</t>
  </si>
  <si>
    <t>COLHER DESC STRAWPLAST 50UN CRISTAL FEST</t>
  </si>
  <si>
    <t>7898202616210</t>
  </si>
  <si>
    <t>8973</t>
  </si>
  <si>
    <t>COLHER DESC STRAWPLAST REFEICAO 50UN</t>
  </si>
  <si>
    <t>7898202616036</t>
  </si>
  <si>
    <t>21120</t>
  </si>
  <si>
    <t>COLHER DESC STRAWPLAST REFEICAO BR 50UN</t>
  </si>
  <si>
    <t>7898202616029</t>
  </si>
  <si>
    <t>10056</t>
  </si>
  <si>
    <t>CONJ COPO NADIR 1X6  MARACATU 265ML</t>
  </si>
  <si>
    <t>7891155017608</t>
  </si>
  <si>
    <t>10053</t>
  </si>
  <si>
    <t>CONJ COPO NADIR 1X6 LAGUNA 265ML</t>
  </si>
  <si>
    <t>7891155033677</t>
  </si>
  <si>
    <t>25882</t>
  </si>
  <si>
    <t>CONJ COPO NADIR 6X1 ZUMBA</t>
  </si>
  <si>
    <t>7891155065814</t>
  </si>
  <si>
    <t>6145</t>
  </si>
  <si>
    <t>COPO AMERICANO SIMPLES</t>
  </si>
  <si>
    <t>13352</t>
  </si>
  <si>
    <t>13647</t>
  </si>
  <si>
    <t>COPO DESC COPOBRAS 180ML PP 100UNID</t>
  </si>
  <si>
    <t>7896030892646</t>
  </si>
  <si>
    <t>10297</t>
  </si>
  <si>
    <t>COPO DESC COPOBRAS 200ML PP CRIS 100UNID</t>
  </si>
  <si>
    <t>7896030892660</t>
  </si>
  <si>
    <t>21051</t>
  </si>
  <si>
    <t>COPO DESC COPOBRAS 50ML 100UNID BCO</t>
  </si>
  <si>
    <t>7896030800528</t>
  </si>
  <si>
    <t>9157</t>
  </si>
  <si>
    <t>COPO DESC CRISTAL 200ML AGUA PS TRAN</t>
  </si>
  <si>
    <t>7898939720082</t>
  </si>
  <si>
    <t>26481</t>
  </si>
  <si>
    <t>COPO DESC CRISTALCOPO 200ML BRANCO</t>
  </si>
  <si>
    <t>7898939720075</t>
  </si>
  <si>
    <t>28321</t>
  </si>
  <si>
    <t>COPO DESC CRISTALCOPO 300ML AGUA PS TRAN</t>
  </si>
  <si>
    <t>7898939720105</t>
  </si>
  <si>
    <t>3261</t>
  </si>
  <si>
    <t>COPO DESC TERMOPOT 80ML 100UN PS TRANS</t>
  </si>
  <si>
    <t>7898901478423</t>
  </si>
  <si>
    <t>23707</t>
  </si>
  <si>
    <t>COPO NADIR DOSE BAR 45ML</t>
  </si>
  <si>
    <t>7891155002604</t>
  </si>
  <si>
    <t>1029</t>
  </si>
  <si>
    <t>DESENGRIPANTE WHITE LUB 300ML ANTI FERR</t>
  </si>
  <si>
    <t>7898314110118</t>
  </si>
  <si>
    <t>9493</t>
  </si>
  <si>
    <t>DESENTUPIDOR P/PIA DIABO VERDE 300G</t>
  </si>
  <si>
    <t>7896495000129</t>
  </si>
  <si>
    <t>8188</t>
  </si>
  <si>
    <t>ESCOVA P/LAVAR CONDOR CABO MADEIRA REF 1</t>
  </si>
  <si>
    <t>7891055111604</t>
  </si>
  <si>
    <t>10029</t>
  </si>
  <si>
    <t>ESCOVA P/LAVAR CONDOR DE MAO REF 1121</t>
  </si>
  <si>
    <t>7891055112106</t>
  </si>
  <si>
    <t>3429</t>
  </si>
  <si>
    <t>ESCOVA P/SAPATO CONDOR REF 01</t>
  </si>
  <si>
    <t>7891055525104</t>
  </si>
  <si>
    <t>18445</t>
  </si>
  <si>
    <t>ESPELHO LARANJA N16</t>
  </si>
  <si>
    <t>7898337040041</t>
  </si>
  <si>
    <t>22675</t>
  </si>
  <si>
    <t>ESPETO BAMBU PARANA 50UN</t>
  </si>
  <si>
    <t>7896080900643</t>
  </si>
  <si>
    <t>7031</t>
  </si>
  <si>
    <t>ESPONJA MULTIUSO BRILHUS BETTANIN</t>
  </si>
  <si>
    <t>7896001004511</t>
  </si>
  <si>
    <t>34975</t>
  </si>
  <si>
    <t>FIGURINHAS FIFA WORLD CUP 2026</t>
  </si>
  <si>
    <t>7897653549146</t>
  </si>
  <si>
    <t>5261</t>
  </si>
  <si>
    <t>FILME PVC BOREDA 30 METROS LARG 28 CM</t>
  </si>
  <si>
    <t>7897384700397</t>
  </si>
  <si>
    <t>16106</t>
  </si>
  <si>
    <t>FILME PVC LUSAFILME R105 30MTSX28CM</t>
  </si>
  <si>
    <t>7898287710025</t>
  </si>
  <si>
    <t>3390</t>
  </si>
  <si>
    <t>FOSFORO FIAT LUX CASAFIAT LUX</t>
  </si>
  <si>
    <t>7896007942213</t>
  </si>
  <si>
    <t>22670</t>
  </si>
  <si>
    <t>FOSFORO PARANA 200UN LONGOS</t>
  </si>
  <si>
    <t>7896080920054</t>
  </si>
  <si>
    <t>14480</t>
  </si>
  <si>
    <t>GARRAFA TERM 1L MUNDIAL AZUL</t>
  </si>
  <si>
    <t>7891023027005</t>
  </si>
  <si>
    <t>14482</t>
  </si>
  <si>
    <t>GARRAFA TERM 1L MUNDIAL VERMELHA</t>
  </si>
  <si>
    <t>7891023547299</t>
  </si>
  <si>
    <t>22200</t>
  </si>
  <si>
    <t>GARRAFA TERM TERMOLAR 1L PERSONAL AZU</t>
  </si>
  <si>
    <t>7891023547794</t>
  </si>
  <si>
    <t>5270</t>
  </si>
  <si>
    <t>GUARD SANTEPEL PEQ 24X22CM C/50UN</t>
  </si>
  <si>
    <t>7896110083254</t>
  </si>
  <si>
    <t>26428</t>
  </si>
  <si>
    <t>GUARDANAPO COQUETEL 21,5X23CM 50UN</t>
  </si>
  <si>
    <t>7896301800028</t>
  </si>
  <si>
    <t>26421</t>
  </si>
  <si>
    <t>GUARDANAPO FLORAX 50UN 22X20CM PREMIUM</t>
  </si>
  <si>
    <t>7898933061303</t>
  </si>
  <si>
    <t>18734</t>
  </si>
  <si>
    <t>GUARDANAPO SCOTT GRAND HOTEL JANTAR 50UN</t>
  </si>
  <si>
    <t>7891172151323</t>
  </si>
  <si>
    <t>16127</t>
  </si>
  <si>
    <t>LAMPADA HALOGENA KIAN 42W</t>
  </si>
  <si>
    <t>7898495149556</t>
  </si>
  <si>
    <t>34656</t>
  </si>
  <si>
    <t>LAMPADA LED LEDVANCE 9W</t>
  </si>
  <si>
    <t>4058075783904</t>
  </si>
  <si>
    <t>30608</t>
  </si>
  <si>
    <t>LAMPADA LED OUROLUX SUPERLED 4,7W</t>
  </si>
  <si>
    <t>7898324005138</t>
  </si>
  <si>
    <t>17259</t>
  </si>
  <si>
    <t>LAMPADA LED OUROLUX SUPERLED 9W</t>
  </si>
  <si>
    <t>7898324005176</t>
  </si>
  <si>
    <t>1136</t>
  </si>
  <si>
    <t>LAVA AUTO POLITRIZ 500ML</t>
  </si>
  <si>
    <t>7896440500865</t>
  </si>
  <si>
    <t>3342</t>
  </si>
  <si>
    <t>PA DE LIXO CONDOR REF 1506/1507</t>
  </si>
  <si>
    <t>7891055150726</t>
  </si>
  <si>
    <t>22684</t>
  </si>
  <si>
    <t>PALITO DENTE PARANA C/ MENTA 250UN</t>
  </si>
  <si>
    <t>7896080900070</t>
  </si>
  <si>
    <t>5745</t>
  </si>
  <si>
    <t>PALITOS GINA C/100 UNID</t>
  </si>
  <si>
    <t>7896051020127</t>
  </si>
  <si>
    <t>3283</t>
  </si>
  <si>
    <t>PANELA DE PRESSAO PANELUX 4,5L</t>
  </si>
  <si>
    <t>7898147771029</t>
  </si>
  <si>
    <t>26451</t>
  </si>
  <si>
    <t>PAPEL ALUMINIO WYDA 4 METROS X 30CM</t>
  </si>
  <si>
    <t>7898933283170</t>
  </si>
  <si>
    <t>8972</t>
  </si>
  <si>
    <t>PAPEL MANTEIGA BOREDA 7,5MTS X30CM</t>
  </si>
  <si>
    <t>7897384700731</t>
  </si>
  <si>
    <t>34637</t>
  </si>
  <si>
    <t>PAPEL TOALHA COQUETEL C/2UN</t>
  </si>
  <si>
    <t>7896061997600</t>
  </si>
  <si>
    <t>34557</t>
  </si>
  <si>
    <t>PAPEL TOALHA FLORAX PRATIC C/2UN</t>
  </si>
  <si>
    <t>7898920699625</t>
  </si>
  <si>
    <t>3250</t>
  </si>
  <si>
    <t>PAPEL TOALHA MAXIM STYLUS 2X50 FOLHAS</t>
  </si>
  <si>
    <t>7896026801508</t>
  </si>
  <si>
    <t>29037</t>
  </si>
  <si>
    <t>PENEIRA GRANDE STARLUX REF 613</t>
  </si>
  <si>
    <t>7896725306137</t>
  </si>
  <si>
    <t>3679</t>
  </si>
  <si>
    <t>PILHA ALCALINA AA RAYOVAC 2X1 SM</t>
  </si>
  <si>
    <t>7896009728013</t>
  </si>
  <si>
    <t>9314</t>
  </si>
  <si>
    <t>PILHA ALCALINA AAA DURACELL 2UN SM</t>
  </si>
  <si>
    <t>41333001074</t>
  </si>
  <si>
    <t>13016</t>
  </si>
  <si>
    <t>PILHA ALCALINA AAA DURACELL PAL 2UN</t>
  </si>
  <si>
    <t>41333431482</t>
  </si>
  <si>
    <t>3680</t>
  </si>
  <si>
    <t>PILHA ALCALINA AAA PALITO RAYOVAC 2X1SM</t>
  </si>
  <si>
    <t>7896009724015</t>
  </si>
  <si>
    <t>22316</t>
  </si>
  <si>
    <t>PILHA ALCALINA AAA4 EVEREADY GOLD 4UN</t>
  </si>
  <si>
    <t>8888021201475</t>
  </si>
  <si>
    <t>22315</t>
  </si>
  <si>
    <t>PILHA EVEREADY GOLD ALC AAA 2UN</t>
  </si>
  <si>
    <t>8888021201468</t>
  </si>
  <si>
    <t>3683</t>
  </si>
  <si>
    <t>PILHA RAYOVAC AMARELA PQ AA 4UN</t>
  </si>
  <si>
    <t>7896009718113</t>
  </si>
  <si>
    <t>11253</t>
  </si>
  <si>
    <t>PRATO DESC COPOBRAS 17 5 10UN PS BR</t>
  </si>
  <si>
    <t>7896030800184</t>
  </si>
  <si>
    <t>8130</t>
  </si>
  <si>
    <t>PRATO DESC TERMOPOT 15CM 10UN</t>
  </si>
  <si>
    <t>7898901478225</t>
  </si>
  <si>
    <t>23952</t>
  </si>
  <si>
    <t>PRATO DURALEX 22,4CM PRIMAVERA NADIR</t>
  </si>
  <si>
    <t>7891155043867</t>
  </si>
  <si>
    <t>8947</t>
  </si>
  <si>
    <t>PRATO NADIR PETALA FUNDO UN</t>
  </si>
  <si>
    <t>7891155037880</t>
  </si>
  <si>
    <t>14138</t>
  </si>
  <si>
    <t>PRATO NADIR PETALA SBM UN 19CM</t>
  </si>
  <si>
    <t>7891155037866</t>
  </si>
  <si>
    <t>3638</t>
  </si>
  <si>
    <t>PRENDEDOR DE ROUPA GINA MADEIRA GD</t>
  </si>
  <si>
    <t>7896051099918</t>
  </si>
  <si>
    <t>21405</t>
  </si>
  <si>
    <t>RATOEIRA ADESIVA KELLMAT</t>
  </si>
  <si>
    <t>7898374662794</t>
  </si>
  <si>
    <t>6733</t>
  </si>
  <si>
    <t>REGULADOR P/GAS VINIGAS COMP C\MANG</t>
  </si>
  <si>
    <t>7898100081639</t>
  </si>
  <si>
    <t>19678</t>
  </si>
  <si>
    <t>SACO P/FREEZERICO BOREDA 2KG 50UN</t>
  </si>
  <si>
    <t>7897384701042</t>
  </si>
  <si>
    <t>19666</t>
  </si>
  <si>
    <t>SACO P/LIXO BOMLIXO BANHEIRO 40UN</t>
  </si>
  <si>
    <t>7898903480134</t>
  </si>
  <si>
    <t>10101</t>
  </si>
  <si>
    <t>SACO P/LIXO LEV FORT 100L 5UN PRETO</t>
  </si>
  <si>
    <t>7898903480127</t>
  </si>
  <si>
    <t>32612</t>
  </si>
  <si>
    <t>SACO P/LIXO LEV FORT 30L 10UN PRETO</t>
  </si>
  <si>
    <t>7898903480103</t>
  </si>
  <si>
    <t>10095</t>
  </si>
  <si>
    <t>SACO P/LIXO LEV FORT 50L 10UN PRETO</t>
  </si>
  <si>
    <t>7898903480110</t>
  </si>
  <si>
    <t>21180</t>
  </si>
  <si>
    <t>SILICONE GEL POLITRIZ 230G</t>
  </si>
  <si>
    <t>7898575691999</t>
  </si>
  <si>
    <t>21931</t>
  </si>
  <si>
    <t>TACA J701 BUFFET VINHO 260ML</t>
  </si>
  <si>
    <t>7891155059738</t>
  </si>
  <si>
    <t>35142</t>
  </si>
  <si>
    <t>TACA NADIR 490ML BUBBLE RAVENA</t>
  </si>
  <si>
    <t>7891155676911</t>
  </si>
  <si>
    <t>25746</t>
  </si>
  <si>
    <t>TACA NADIR CLASSIC CERVEJA 300ML</t>
  </si>
  <si>
    <t>7891155003908</t>
  </si>
  <si>
    <t>21932</t>
  </si>
  <si>
    <t>TACA SM BUFFET CHAMPANHE UN</t>
  </si>
  <si>
    <t>7891155059608</t>
  </si>
  <si>
    <t>30533</t>
  </si>
  <si>
    <t>XICARA DE CHA NADIR DIAMANTE 233ML</t>
  </si>
  <si>
    <t>7891155036289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</si>
</sst>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64" fontId="0" fillId="0" borderId="0" xfId="0" applyNumberFormat="1"/>
    <xf numFmtId="0" fontId="6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164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6"/>
  <sheetViews>
    <sheetView tabSelected="1" workbookViewId="0">
      <pane xSplit="3" ySplit="4" topLeftCell="G9" activePane="bottomRight" state="frozen"/>
      <selection pane="topRight"/>
      <selection pane="bottomLeft"/>
      <selection pane="bottomRight" activeCell="S27" sqref="S27:S28"/>
    </sheetView>
  </sheetViews>
  <sheetFormatPr defaultRowHeight="15" x14ac:dyDescent="0.25"/>
  <cols>
    <col min="1" max="1" width="12" customWidth="1"/>
    <col min="2" max="2" width="43" customWidth="1"/>
    <col min="3" max="3" width="5" customWidth="1"/>
    <col min="4" max="15" width="8" customWidth="1"/>
    <col min="16" max="16" width="10" customWidth="1"/>
    <col min="17" max="17" width="6" customWidth="1"/>
    <col min="18" max="18" width="10" customWidth="1"/>
    <col min="19" max="20" width="12" customWidth="1"/>
    <col min="21" max="21" width="12" hidden="1" customWidth="1"/>
  </cols>
  <sheetData>
    <row r="1" spans="1:21" ht="27.95" customHeight="1" x14ac:dyDescent="0.25">
      <c r="A1" s="20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1" ht="21.95" customHeight="1" x14ac:dyDescent="0.25">
      <c r="A2" s="21" t="s">
        <v>1</v>
      </c>
      <c r="B2" s="17"/>
      <c r="C2" s="17"/>
      <c r="D2" s="17"/>
      <c r="E2" s="17"/>
      <c r="F2" s="16" t="s">
        <v>2</v>
      </c>
      <c r="G2" s="17"/>
      <c r="H2" s="17"/>
      <c r="I2" s="1">
        <v>86</v>
      </c>
      <c r="J2" s="16" t="s">
        <v>3</v>
      </c>
      <c r="K2" s="17"/>
      <c r="L2" s="17"/>
      <c r="M2" s="17"/>
      <c r="N2" s="18">
        <f>IFERROR(SUMPRODUCT(U3:U100000),0)</f>
        <v>1461.3</v>
      </c>
      <c r="O2" s="17"/>
      <c r="P2" s="17"/>
      <c r="Q2" s="17"/>
      <c r="R2" s="17"/>
      <c r="S2" s="17"/>
      <c r="T2" s="17"/>
    </row>
    <row r="3" spans="1:21" ht="18" customHeight="1" x14ac:dyDescent="0.25">
      <c r="A3" s="19" t="s">
        <v>4</v>
      </c>
      <c r="B3" s="19" t="s">
        <v>5</v>
      </c>
      <c r="C3" s="19" t="s">
        <v>6</v>
      </c>
      <c r="D3" s="19" t="s">
        <v>7</v>
      </c>
      <c r="E3" s="19"/>
      <c r="F3" s="19"/>
      <c r="G3" s="19" t="s">
        <v>8</v>
      </c>
      <c r="H3" s="19"/>
      <c r="I3" s="19"/>
      <c r="J3" s="19"/>
      <c r="K3" s="19"/>
      <c r="L3" s="19"/>
      <c r="M3" s="19"/>
      <c r="N3" s="19"/>
      <c r="O3" s="19"/>
      <c r="P3" s="19" t="s">
        <v>9</v>
      </c>
      <c r="Q3" s="19" t="s">
        <v>10</v>
      </c>
      <c r="R3" s="19" t="s">
        <v>11</v>
      </c>
      <c r="S3" s="19" t="s">
        <v>12</v>
      </c>
      <c r="T3" s="19" t="s">
        <v>13</v>
      </c>
    </row>
    <row r="4" spans="1:21" ht="20.100000000000001" customHeight="1" x14ac:dyDescent="0.25">
      <c r="A4" s="19"/>
      <c r="B4" s="19"/>
      <c r="C4" s="19"/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19"/>
      <c r="Q4" s="19"/>
      <c r="R4" s="19"/>
      <c r="S4" s="19"/>
      <c r="T4" s="19"/>
    </row>
    <row r="5" spans="1:21" x14ac:dyDescent="0.25">
      <c r="A5" s="3" t="s">
        <v>26</v>
      </c>
      <c r="B5" s="4" t="s">
        <v>27</v>
      </c>
      <c r="C5" s="5" t="s">
        <v>28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20</v>
      </c>
      <c r="L5" s="6">
        <v>0</v>
      </c>
      <c r="M5" s="6">
        <v>0</v>
      </c>
      <c r="N5" s="6">
        <v>0</v>
      </c>
      <c r="O5" s="6">
        <v>0</v>
      </c>
      <c r="P5" s="7">
        <v>0</v>
      </c>
      <c r="Q5" s="7">
        <v>1</v>
      </c>
      <c r="R5" s="7">
        <v>3</v>
      </c>
      <c r="S5" s="13">
        <v>0</v>
      </c>
      <c r="T5" s="15">
        <v>21.01</v>
      </c>
      <c r="U5" s="8">
        <f>IF(S5="",0,S5)*T5</f>
        <v>0</v>
      </c>
    </row>
    <row r="6" spans="1:21" x14ac:dyDescent="0.25">
      <c r="A6" s="9" t="s">
        <v>29</v>
      </c>
      <c r="B6" s="10"/>
      <c r="C6" s="11" t="s">
        <v>30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3</v>
      </c>
      <c r="L6" s="12">
        <v>17</v>
      </c>
      <c r="M6" s="12">
        <v>0</v>
      </c>
      <c r="N6" s="12">
        <v>0</v>
      </c>
      <c r="O6" s="12">
        <v>0</v>
      </c>
      <c r="P6" s="10"/>
      <c r="Q6" s="10"/>
      <c r="R6" s="10"/>
      <c r="S6" s="14"/>
      <c r="T6" s="14"/>
    </row>
    <row r="7" spans="1:21" x14ac:dyDescent="0.25">
      <c r="A7" s="3" t="s">
        <v>31</v>
      </c>
      <c r="B7" s="4" t="s">
        <v>32</v>
      </c>
      <c r="C7" s="5" t="s">
        <v>28</v>
      </c>
      <c r="D7" s="6">
        <v>0</v>
      </c>
      <c r="E7" s="6">
        <v>0</v>
      </c>
      <c r="F7" s="6">
        <v>124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7">
        <v>41</v>
      </c>
      <c r="Q7" s="7">
        <v>1</v>
      </c>
      <c r="R7" s="7">
        <v>2</v>
      </c>
      <c r="S7" s="13">
        <v>6</v>
      </c>
      <c r="T7" s="15">
        <v>34.51</v>
      </c>
      <c r="U7" s="8">
        <f>IF(S7="",0,S7)*T7</f>
        <v>207.06</v>
      </c>
    </row>
    <row r="8" spans="1:21" x14ac:dyDescent="0.25">
      <c r="A8" s="9" t="s">
        <v>33</v>
      </c>
      <c r="B8" s="10"/>
      <c r="C8" s="11" t="s">
        <v>30</v>
      </c>
      <c r="D8" s="12">
        <v>0</v>
      </c>
      <c r="E8" s="12">
        <v>2</v>
      </c>
      <c r="F8" s="12">
        <v>57</v>
      </c>
      <c r="G8" s="12">
        <v>1</v>
      </c>
      <c r="H8" s="12">
        <v>1</v>
      </c>
      <c r="I8" s="12">
        <v>5</v>
      </c>
      <c r="J8" s="12">
        <v>4</v>
      </c>
      <c r="K8" s="12">
        <v>8</v>
      </c>
      <c r="L8" s="12">
        <v>2</v>
      </c>
      <c r="M8" s="12">
        <v>0</v>
      </c>
      <c r="N8" s="12">
        <v>3</v>
      </c>
      <c r="O8" s="12">
        <v>0</v>
      </c>
      <c r="P8" s="10"/>
      <c r="Q8" s="10"/>
      <c r="R8" s="10"/>
      <c r="S8" s="14"/>
      <c r="T8" s="14"/>
    </row>
    <row r="9" spans="1:21" x14ac:dyDescent="0.25">
      <c r="A9" s="3" t="s">
        <v>34</v>
      </c>
      <c r="B9" s="4" t="s">
        <v>35</v>
      </c>
      <c r="C9" s="5" t="s">
        <v>28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24</v>
      </c>
      <c r="M9" s="6">
        <v>0</v>
      </c>
      <c r="N9" s="6">
        <v>0</v>
      </c>
      <c r="O9" s="6">
        <v>0</v>
      </c>
      <c r="P9" s="7">
        <v>5</v>
      </c>
      <c r="Q9" s="7">
        <v>12</v>
      </c>
      <c r="R9" s="7">
        <v>0</v>
      </c>
      <c r="S9" s="13">
        <v>12</v>
      </c>
      <c r="T9" s="15">
        <v>2.78</v>
      </c>
      <c r="U9" s="8">
        <f>IF(S9="",0,S9)*T9</f>
        <v>33.36</v>
      </c>
    </row>
    <row r="10" spans="1:21" x14ac:dyDescent="0.25">
      <c r="A10" s="9" t="s">
        <v>36</v>
      </c>
      <c r="B10" s="10"/>
      <c r="C10" s="11" t="s">
        <v>30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1</v>
      </c>
      <c r="M10" s="12">
        <v>10</v>
      </c>
      <c r="N10" s="12">
        <v>3</v>
      </c>
      <c r="O10" s="12">
        <v>5</v>
      </c>
      <c r="P10" s="10"/>
      <c r="Q10" s="10"/>
      <c r="R10" s="10"/>
      <c r="S10" s="14"/>
      <c r="T10" s="14"/>
    </row>
    <row r="11" spans="1:21" x14ac:dyDescent="0.25">
      <c r="A11" s="3" t="s">
        <v>37</v>
      </c>
      <c r="B11" s="4" t="s">
        <v>38</v>
      </c>
      <c r="C11" s="5" t="s">
        <v>28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3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7">
        <v>1</v>
      </c>
      <c r="Q11" s="7">
        <v>1</v>
      </c>
      <c r="R11" s="7">
        <v>0</v>
      </c>
      <c r="S11" s="13">
        <v>3</v>
      </c>
      <c r="T11" s="15">
        <v>73</v>
      </c>
      <c r="U11" s="8">
        <f>IF(S11="",0,S11)*T11</f>
        <v>219</v>
      </c>
    </row>
    <row r="12" spans="1:21" x14ac:dyDescent="0.25">
      <c r="A12" s="9" t="s">
        <v>39</v>
      </c>
      <c r="B12" s="10"/>
      <c r="C12" s="11" t="s">
        <v>30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1</v>
      </c>
      <c r="M12" s="12">
        <v>0</v>
      </c>
      <c r="N12" s="12">
        <v>0</v>
      </c>
      <c r="O12" s="12">
        <v>1</v>
      </c>
      <c r="P12" s="10"/>
      <c r="Q12" s="10"/>
      <c r="R12" s="10"/>
      <c r="S12" s="14"/>
      <c r="T12" s="14"/>
    </row>
    <row r="13" spans="1:21" x14ac:dyDescent="0.25">
      <c r="A13" s="3" t="s">
        <v>40</v>
      </c>
      <c r="B13" s="4" t="s">
        <v>41</v>
      </c>
      <c r="C13" s="5" t="s">
        <v>28</v>
      </c>
      <c r="D13" s="6">
        <v>0</v>
      </c>
      <c r="E13" s="6">
        <v>0</v>
      </c>
      <c r="F13" s="6">
        <v>24</v>
      </c>
      <c r="G13" s="6">
        <v>0</v>
      </c>
      <c r="H13" s="6">
        <v>0</v>
      </c>
      <c r="I13" s="6">
        <v>0</v>
      </c>
      <c r="J13" s="6">
        <v>0</v>
      </c>
      <c r="K13" s="6">
        <v>24</v>
      </c>
      <c r="L13" s="6">
        <v>0</v>
      </c>
      <c r="M13" s="6">
        <v>0</v>
      </c>
      <c r="N13" s="6">
        <v>0</v>
      </c>
      <c r="O13" s="6">
        <v>0</v>
      </c>
      <c r="P13" s="7">
        <v>5</v>
      </c>
      <c r="Q13" s="7">
        <v>24</v>
      </c>
      <c r="R13" s="7">
        <v>0</v>
      </c>
      <c r="S13" s="13">
        <v>24</v>
      </c>
      <c r="T13" s="15">
        <v>5.94</v>
      </c>
      <c r="U13" s="8">
        <f>IF(S13="",0,S13)*T13</f>
        <v>142.56</v>
      </c>
    </row>
    <row r="14" spans="1:21" x14ac:dyDescent="0.25">
      <c r="A14" s="9" t="s">
        <v>42</v>
      </c>
      <c r="B14" s="10"/>
      <c r="C14" s="11" t="s">
        <v>30</v>
      </c>
      <c r="D14" s="12">
        <v>4</v>
      </c>
      <c r="E14" s="12">
        <v>3</v>
      </c>
      <c r="F14" s="12">
        <v>10</v>
      </c>
      <c r="G14" s="12">
        <v>2</v>
      </c>
      <c r="H14" s="12">
        <v>2</v>
      </c>
      <c r="I14" s="12">
        <v>2</v>
      </c>
      <c r="J14" s="12">
        <v>5</v>
      </c>
      <c r="K14" s="12">
        <v>2</v>
      </c>
      <c r="L14" s="12">
        <v>7</v>
      </c>
      <c r="M14" s="12">
        <v>3</v>
      </c>
      <c r="N14" s="12">
        <v>2</v>
      </c>
      <c r="O14" s="12">
        <v>1</v>
      </c>
      <c r="P14" s="10"/>
      <c r="Q14" s="10"/>
      <c r="R14" s="10"/>
      <c r="S14" s="14"/>
      <c r="T14" s="14"/>
    </row>
    <row r="15" spans="1:21" x14ac:dyDescent="0.25">
      <c r="A15" s="3" t="s">
        <v>43</v>
      </c>
      <c r="B15" s="4" t="s">
        <v>44</v>
      </c>
      <c r="C15" s="5" t="s">
        <v>28</v>
      </c>
      <c r="D15" s="6">
        <v>6</v>
      </c>
      <c r="E15" s="6">
        <v>0</v>
      </c>
      <c r="F15" s="6">
        <v>6</v>
      </c>
      <c r="G15" s="6">
        <v>0</v>
      </c>
      <c r="H15" s="6">
        <v>6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7">
        <v>0</v>
      </c>
      <c r="Q15" s="7">
        <v>20</v>
      </c>
      <c r="R15" s="7">
        <v>0</v>
      </c>
      <c r="S15" s="13">
        <v>12</v>
      </c>
      <c r="T15" s="15">
        <v>59.4</v>
      </c>
      <c r="U15" s="8">
        <f>IF(S15="",0,S15)*T15</f>
        <v>712.8</v>
      </c>
    </row>
    <row r="16" spans="1:21" x14ac:dyDescent="0.25">
      <c r="A16" s="9" t="s">
        <v>45</v>
      </c>
      <c r="B16" s="10"/>
      <c r="C16" s="11" t="s">
        <v>30</v>
      </c>
      <c r="D16" s="12">
        <v>3</v>
      </c>
      <c r="E16" s="12">
        <v>1</v>
      </c>
      <c r="F16" s="12">
        <v>8</v>
      </c>
      <c r="G16" s="12">
        <v>0</v>
      </c>
      <c r="H16" s="12">
        <v>0</v>
      </c>
      <c r="I16" s="12">
        <v>1</v>
      </c>
      <c r="J16" s="12">
        <v>1</v>
      </c>
      <c r="K16" s="12">
        <v>1</v>
      </c>
      <c r="L16" s="12">
        <v>3</v>
      </c>
      <c r="M16" s="12">
        <v>0</v>
      </c>
      <c r="N16" s="12">
        <v>0</v>
      </c>
      <c r="O16" s="12">
        <v>0</v>
      </c>
      <c r="P16" s="10"/>
      <c r="Q16" s="10"/>
      <c r="R16" s="10"/>
      <c r="S16" s="14"/>
      <c r="T16" s="14"/>
    </row>
    <row r="17" spans="1:21" x14ac:dyDescent="0.25">
      <c r="A17" s="3" t="s">
        <v>46</v>
      </c>
      <c r="B17" s="4" t="s">
        <v>47</v>
      </c>
      <c r="C17" s="5" t="s">
        <v>28</v>
      </c>
      <c r="D17" s="6">
        <v>0</v>
      </c>
      <c r="E17" s="6">
        <v>12</v>
      </c>
      <c r="F17" s="6">
        <v>0</v>
      </c>
      <c r="G17" s="6">
        <v>0</v>
      </c>
      <c r="H17" s="6">
        <v>12</v>
      </c>
      <c r="I17" s="6">
        <v>0</v>
      </c>
      <c r="J17" s="6">
        <v>0</v>
      </c>
      <c r="K17" s="6">
        <v>12</v>
      </c>
      <c r="L17" s="6">
        <v>0</v>
      </c>
      <c r="M17" s="6">
        <v>0</v>
      </c>
      <c r="N17" s="6">
        <v>0</v>
      </c>
      <c r="O17" s="6">
        <v>0</v>
      </c>
      <c r="P17" s="7">
        <v>0</v>
      </c>
      <c r="Q17" s="7">
        <v>12</v>
      </c>
      <c r="R17" s="7">
        <v>0</v>
      </c>
      <c r="S17" s="13">
        <v>1</v>
      </c>
      <c r="T17" s="15">
        <v>7.52</v>
      </c>
      <c r="U17" s="8">
        <f>IF(S17="",0,S17)*T17</f>
        <v>7.52</v>
      </c>
    </row>
    <row r="18" spans="1:21" x14ac:dyDescent="0.25">
      <c r="A18" s="9" t="s">
        <v>48</v>
      </c>
      <c r="B18" s="10"/>
      <c r="C18" s="11" t="s">
        <v>30</v>
      </c>
      <c r="D18" s="12">
        <v>1</v>
      </c>
      <c r="E18" s="12">
        <v>2</v>
      </c>
      <c r="F18" s="12">
        <v>4</v>
      </c>
      <c r="G18" s="12">
        <v>4</v>
      </c>
      <c r="H18" s="12">
        <v>4</v>
      </c>
      <c r="I18" s="12">
        <v>6</v>
      </c>
      <c r="J18" s="12">
        <v>0</v>
      </c>
      <c r="K18" s="12">
        <v>4</v>
      </c>
      <c r="L18" s="12">
        <v>3</v>
      </c>
      <c r="M18" s="12">
        <v>2</v>
      </c>
      <c r="N18" s="12">
        <v>3</v>
      </c>
      <c r="O18" s="12">
        <v>3</v>
      </c>
      <c r="P18" s="10"/>
      <c r="Q18" s="10"/>
      <c r="R18" s="10"/>
      <c r="S18" s="14"/>
      <c r="T18" s="14"/>
    </row>
    <row r="19" spans="1:21" x14ac:dyDescent="0.25">
      <c r="A19" s="3" t="s">
        <v>49</v>
      </c>
      <c r="B19" s="4" t="s">
        <v>50</v>
      </c>
      <c r="C19" s="5" t="s">
        <v>28</v>
      </c>
      <c r="D19" s="6">
        <v>0</v>
      </c>
      <c r="E19" s="6">
        <v>24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24</v>
      </c>
      <c r="M19" s="6">
        <v>0</v>
      </c>
      <c r="N19" s="6">
        <v>0</v>
      </c>
      <c r="O19" s="6">
        <v>0</v>
      </c>
      <c r="P19" s="7">
        <v>9</v>
      </c>
      <c r="Q19" s="7">
        <v>24</v>
      </c>
      <c r="R19" s="7">
        <v>0</v>
      </c>
      <c r="S19" s="13">
        <v>2</v>
      </c>
      <c r="T19" s="15">
        <v>5.12</v>
      </c>
      <c r="U19" s="8">
        <f>IF(S19="",0,S19)*T19</f>
        <v>10.24</v>
      </c>
    </row>
    <row r="20" spans="1:21" x14ac:dyDescent="0.25">
      <c r="A20" s="9" t="s">
        <v>51</v>
      </c>
      <c r="B20" s="10"/>
      <c r="C20" s="11" t="s">
        <v>30</v>
      </c>
      <c r="D20" s="12">
        <v>2</v>
      </c>
      <c r="E20" s="12">
        <v>3</v>
      </c>
      <c r="F20" s="12">
        <v>4</v>
      </c>
      <c r="G20" s="12">
        <v>4</v>
      </c>
      <c r="H20" s="12">
        <v>3</v>
      </c>
      <c r="I20" s="12">
        <v>1</v>
      </c>
      <c r="J20" s="12">
        <v>4</v>
      </c>
      <c r="K20" s="12">
        <v>3</v>
      </c>
      <c r="L20" s="12">
        <v>5</v>
      </c>
      <c r="M20" s="12">
        <v>4</v>
      </c>
      <c r="N20" s="12">
        <v>6</v>
      </c>
      <c r="O20" s="12">
        <v>0</v>
      </c>
      <c r="P20" s="10"/>
      <c r="Q20" s="10"/>
      <c r="R20" s="10"/>
      <c r="S20" s="14"/>
      <c r="T20" s="14"/>
    </row>
    <row r="21" spans="1:21" x14ac:dyDescent="0.25">
      <c r="A21" s="3" t="s">
        <v>52</v>
      </c>
      <c r="B21" s="4" t="s">
        <v>53</v>
      </c>
      <c r="C21" s="5" t="s">
        <v>28</v>
      </c>
      <c r="D21" s="6">
        <v>24</v>
      </c>
      <c r="E21" s="6">
        <v>0</v>
      </c>
      <c r="F21" s="6">
        <v>0</v>
      </c>
      <c r="G21" s="6">
        <v>0</v>
      </c>
      <c r="H21" s="6">
        <v>24</v>
      </c>
      <c r="I21" s="6">
        <v>0</v>
      </c>
      <c r="J21" s="6">
        <v>0</v>
      </c>
      <c r="K21" s="6">
        <v>24</v>
      </c>
      <c r="L21" s="6">
        <v>0</v>
      </c>
      <c r="M21" s="6">
        <v>24</v>
      </c>
      <c r="N21" s="6">
        <v>0</v>
      </c>
      <c r="O21" s="6">
        <v>0</v>
      </c>
      <c r="P21" s="7">
        <v>3</v>
      </c>
      <c r="Q21" s="7">
        <v>24</v>
      </c>
      <c r="R21" s="7">
        <v>0</v>
      </c>
      <c r="S21" s="13">
        <v>12</v>
      </c>
      <c r="T21" s="15">
        <v>6.22</v>
      </c>
      <c r="U21" s="8">
        <f>IF(S21="",0,S21)*T21</f>
        <v>74.64</v>
      </c>
    </row>
    <row r="22" spans="1:21" x14ac:dyDescent="0.25">
      <c r="A22" s="9" t="s">
        <v>54</v>
      </c>
      <c r="B22" s="10"/>
      <c r="C22" s="11" t="s">
        <v>30</v>
      </c>
      <c r="D22" s="12">
        <v>7</v>
      </c>
      <c r="E22" s="12">
        <v>9</v>
      </c>
      <c r="F22" s="12">
        <v>6</v>
      </c>
      <c r="G22" s="12">
        <v>4</v>
      </c>
      <c r="H22" s="12">
        <v>5</v>
      </c>
      <c r="I22" s="12">
        <v>9</v>
      </c>
      <c r="J22" s="12">
        <v>11</v>
      </c>
      <c r="K22" s="12">
        <v>12</v>
      </c>
      <c r="L22" s="12">
        <v>14</v>
      </c>
      <c r="M22" s="12">
        <v>4</v>
      </c>
      <c r="N22" s="12">
        <v>7</v>
      </c>
      <c r="O22" s="12">
        <v>5</v>
      </c>
      <c r="P22" s="10"/>
      <c r="Q22" s="10"/>
      <c r="R22" s="10"/>
      <c r="S22" s="14"/>
      <c r="T22" s="14"/>
    </row>
    <row r="23" spans="1:21" x14ac:dyDescent="0.25">
      <c r="A23" s="3" t="s">
        <v>55</v>
      </c>
      <c r="B23" s="4" t="s">
        <v>56</v>
      </c>
      <c r="C23" s="5" t="s">
        <v>28</v>
      </c>
      <c r="D23" s="6">
        <v>0</v>
      </c>
      <c r="E23" s="6">
        <v>0</v>
      </c>
      <c r="F23" s="6">
        <v>0</v>
      </c>
      <c r="G23" s="6">
        <v>24</v>
      </c>
      <c r="H23" s="6">
        <v>0</v>
      </c>
      <c r="I23" s="6">
        <v>0</v>
      </c>
      <c r="J23" s="6">
        <v>0</v>
      </c>
      <c r="K23" s="6">
        <v>24</v>
      </c>
      <c r="L23" s="6">
        <v>0</v>
      </c>
      <c r="M23" s="6">
        <v>24</v>
      </c>
      <c r="N23" s="6">
        <v>0</v>
      </c>
      <c r="O23" s="6">
        <v>0</v>
      </c>
      <c r="P23" s="7">
        <v>0</v>
      </c>
      <c r="Q23" s="7">
        <v>26</v>
      </c>
      <c r="R23" s="7">
        <v>0</v>
      </c>
      <c r="S23" s="13">
        <v>12</v>
      </c>
      <c r="T23" s="15">
        <v>1.59</v>
      </c>
      <c r="U23" s="8">
        <f>IF(S23="",0,S23)*T23</f>
        <v>19.080000000000002</v>
      </c>
    </row>
    <row r="24" spans="1:21" x14ac:dyDescent="0.25">
      <c r="A24" s="9" t="s">
        <v>57</v>
      </c>
      <c r="B24" s="10"/>
      <c r="C24" s="11" t="s">
        <v>30</v>
      </c>
      <c r="D24" s="12">
        <v>8</v>
      </c>
      <c r="E24" s="12">
        <v>6</v>
      </c>
      <c r="F24" s="12">
        <v>6</v>
      </c>
      <c r="G24" s="12">
        <v>8</v>
      </c>
      <c r="H24" s="12">
        <v>9</v>
      </c>
      <c r="I24" s="12">
        <v>10</v>
      </c>
      <c r="J24" s="12">
        <v>14</v>
      </c>
      <c r="K24" s="12">
        <v>7</v>
      </c>
      <c r="L24" s="12">
        <v>4</v>
      </c>
      <c r="M24" s="12">
        <v>10</v>
      </c>
      <c r="N24" s="12">
        <v>9</v>
      </c>
      <c r="O24" s="12">
        <v>14</v>
      </c>
      <c r="P24" s="10"/>
      <c r="Q24" s="10"/>
      <c r="R24" s="10"/>
      <c r="S24" s="14"/>
      <c r="T24" s="14"/>
    </row>
    <row r="25" spans="1:21" x14ac:dyDescent="0.25">
      <c r="A25" s="3" t="s">
        <v>58</v>
      </c>
      <c r="B25" s="4" t="s">
        <v>59</v>
      </c>
      <c r="C25" s="5" t="s">
        <v>28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20</v>
      </c>
      <c r="M25" s="6">
        <v>20</v>
      </c>
      <c r="N25" s="6">
        <v>0</v>
      </c>
      <c r="O25" s="6">
        <v>0</v>
      </c>
      <c r="P25" s="7">
        <v>0</v>
      </c>
      <c r="Q25" s="7">
        <v>20</v>
      </c>
      <c r="R25" s="7">
        <v>0</v>
      </c>
      <c r="S25" s="13">
        <v>12</v>
      </c>
      <c r="T25" s="15">
        <v>2.92</v>
      </c>
      <c r="U25" s="8">
        <f>IF(S25="",0,S25)*T25</f>
        <v>35.04</v>
      </c>
    </row>
    <row r="26" spans="1:21" x14ac:dyDescent="0.25">
      <c r="A26" s="9" t="s">
        <v>60</v>
      </c>
      <c r="B26" s="10"/>
      <c r="C26" s="11" t="s">
        <v>30</v>
      </c>
      <c r="D26" s="12">
        <v>3</v>
      </c>
      <c r="E26" s="12">
        <v>3</v>
      </c>
      <c r="F26" s="12">
        <v>12</v>
      </c>
      <c r="G26" s="12">
        <v>1</v>
      </c>
      <c r="H26" s="12">
        <v>4</v>
      </c>
      <c r="I26" s="12">
        <v>1</v>
      </c>
      <c r="J26" s="12">
        <v>8</v>
      </c>
      <c r="K26" s="12">
        <v>3</v>
      </c>
      <c r="L26" s="12">
        <v>13</v>
      </c>
      <c r="M26" s="12">
        <v>4</v>
      </c>
      <c r="N26" s="12">
        <v>4</v>
      </c>
      <c r="O26" s="12">
        <v>6</v>
      </c>
      <c r="P26" s="10"/>
      <c r="Q26" s="10"/>
      <c r="R26" s="10"/>
      <c r="S26" s="14"/>
      <c r="T26" s="14"/>
    </row>
    <row r="27" spans="1:21" x14ac:dyDescent="0.25">
      <c r="A27" s="3" t="s">
        <v>61</v>
      </c>
      <c r="B27" s="4" t="s">
        <v>62</v>
      </c>
      <c r="C27" s="5" t="s">
        <v>28</v>
      </c>
      <c r="D27" s="6">
        <v>20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20</v>
      </c>
      <c r="L27" s="6">
        <v>20</v>
      </c>
      <c r="M27" s="6">
        <v>20</v>
      </c>
      <c r="N27" s="6">
        <v>0</v>
      </c>
      <c r="O27" s="6">
        <v>20</v>
      </c>
      <c r="P27" s="7">
        <v>0</v>
      </c>
      <c r="Q27" s="7">
        <v>20</v>
      </c>
      <c r="R27" s="7">
        <v>0</v>
      </c>
      <c r="S27" s="13">
        <v>0</v>
      </c>
      <c r="T27" s="15">
        <v>2.87</v>
      </c>
      <c r="U27" s="8">
        <f>IF(S27="",0,S27)*T27</f>
        <v>0</v>
      </c>
    </row>
    <row r="28" spans="1:21" x14ac:dyDescent="0.25">
      <c r="A28" s="9" t="s">
        <v>63</v>
      </c>
      <c r="B28" s="10"/>
      <c r="C28" s="11" t="s">
        <v>30</v>
      </c>
      <c r="D28" s="12">
        <v>0</v>
      </c>
      <c r="E28" s="12">
        <v>0</v>
      </c>
      <c r="F28" s="12">
        <v>15</v>
      </c>
      <c r="G28" s="12">
        <v>5</v>
      </c>
      <c r="H28" s="12">
        <v>6</v>
      </c>
      <c r="I28" s="12">
        <v>1</v>
      </c>
      <c r="J28" s="12">
        <v>3</v>
      </c>
      <c r="K28" s="12">
        <v>22</v>
      </c>
      <c r="L28" s="12">
        <v>16</v>
      </c>
      <c r="M28" s="12">
        <v>7</v>
      </c>
      <c r="N28" s="12">
        <v>10</v>
      </c>
      <c r="O28" s="12">
        <v>15</v>
      </c>
      <c r="P28" s="10"/>
      <c r="Q28" s="10"/>
      <c r="R28" s="10"/>
      <c r="S28" s="14"/>
      <c r="T28" s="14"/>
    </row>
    <row r="29" spans="1:21" x14ac:dyDescent="0.25">
      <c r="A29" s="3" t="s">
        <v>64</v>
      </c>
      <c r="B29" s="4" t="s">
        <v>65</v>
      </c>
      <c r="C29" s="5" t="s">
        <v>28</v>
      </c>
      <c r="D29" s="6">
        <v>0</v>
      </c>
      <c r="E29" s="6">
        <v>0</v>
      </c>
      <c r="F29" s="6">
        <v>40</v>
      </c>
      <c r="G29" s="6">
        <v>0</v>
      </c>
      <c r="H29" s="6">
        <v>0</v>
      </c>
      <c r="I29" s="6">
        <v>20</v>
      </c>
      <c r="J29" s="6">
        <v>0</v>
      </c>
      <c r="K29" s="6">
        <v>0</v>
      </c>
      <c r="L29" s="6">
        <v>20</v>
      </c>
      <c r="M29" s="6">
        <v>40</v>
      </c>
      <c r="N29" s="6">
        <v>0</v>
      </c>
      <c r="O29" s="6">
        <v>20</v>
      </c>
      <c r="P29" s="7">
        <v>0</v>
      </c>
      <c r="Q29" s="7">
        <v>20</v>
      </c>
      <c r="R29" s="7">
        <v>0</v>
      </c>
      <c r="S29" s="13">
        <v>0</v>
      </c>
      <c r="T29" s="15">
        <v>2.86</v>
      </c>
      <c r="U29" s="8">
        <f>IF(S29="",0,S29)*T29</f>
        <v>0</v>
      </c>
    </row>
    <row r="30" spans="1:21" x14ac:dyDescent="0.25">
      <c r="A30" s="9" t="s">
        <v>66</v>
      </c>
      <c r="B30" s="10"/>
      <c r="C30" s="11" t="s">
        <v>30</v>
      </c>
      <c r="D30" s="12">
        <v>12</v>
      </c>
      <c r="E30" s="12">
        <v>3</v>
      </c>
      <c r="F30" s="12">
        <v>16</v>
      </c>
      <c r="G30" s="12">
        <v>6</v>
      </c>
      <c r="H30" s="12">
        <v>18</v>
      </c>
      <c r="I30" s="12">
        <v>1</v>
      </c>
      <c r="J30" s="12">
        <v>20</v>
      </c>
      <c r="K30" s="12">
        <v>0</v>
      </c>
      <c r="L30" s="12">
        <v>19</v>
      </c>
      <c r="M30" s="12">
        <v>20</v>
      </c>
      <c r="N30" s="12">
        <v>14</v>
      </c>
      <c r="O30" s="12">
        <v>16</v>
      </c>
      <c r="P30" s="10"/>
      <c r="Q30" s="10"/>
      <c r="R30" s="10"/>
      <c r="S30" s="14"/>
      <c r="T30" s="14"/>
    </row>
    <row r="31" spans="1:21" x14ac:dyDescent="0.25">
      <c r="A31" s="3" t="s">
        <v>67</v>
      </c>
      <c r="B31" s="4" t="s">
        <v>68</v>
      </c>
      <c r="C31" s="5" t="s">
        <v>28</v>
      </c>
      <c r="D31" s="6">
        <v>0</v>
      </c>
      <c r="E31" s="6">
        <v>0</v>
      </c>
      <c r="F31" s="6">
        <v>0</v>
      </c>
      <c r="G31" s="6">
        <v>48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16</v>
      </c>
      <c r="N31" s="6">
        <v>24</v>
      </c>
      <c r="O31" s="6">
        <v>0</v>
      </c>
      <c r="P31" s="7">
        <v>20</v>
      </c>
      <c r="Q31" s="7">
        <v>6</v>
      </c>
      <c r="R31" s="7">
        <v>0</v>
      </c>
      <c r="S31" s="13">
        <v>0</v>
      </c>
      <c r="T31" s="15">
        <v>7.99</v>
      </c>
      <c r="U31" s="8">
        <f>IF(S31="",0,S31)*T31</f>
        <v>0</v>
      </c>
    </row>
    <row r="32" spans="1:21" x14ac:dyDescent="0.25">
      <c r="A32" s="9" t="s">
        <v>69</v>
      </c>
      <c r="B32" s="10"/>
      <c r="C32" s="11" t="s">
        <v>30</v>
      </c>
      <c r="D32" s="12">
        <v>2</v>
      </c>
      <c r="E32" s="12">
        <v>0</v>
      </c>
      <c r="F32" s="12">
        <v>1</v>
      </c>
      <c r="G32" s="12">
        <v>6</v>
      </c>
      <c r="H32" s="12">
        <v>16</v>
      </c>
      <c r="I32" s="12">
        <v>11</v>
      </c>
      <c r="J32" s="12">
        <v>2</v>
      </c>
      <c r="K32" s="12">
        <v>7</v>
      </c>
      <c r="L32" s="12">
        <v>1</v>
      </c>
      <c r="M32" s="12">
        <v>7</v>
      </c>
      <c r="N32" s="12">
        <v>13</v>
      </c>
      <c r="O32" s="12">
        <v>2</v>
      </c>
      <c r="P32" s="10"/>
      <c r="Q32" s="10"/>
      <c r="R32" s="10"/>
      <c r="S32" s="14"/>
      <c r="T32" s="14"/>
    </row>
    <row r="33" spans="1:21" x14ac:dyDescent="0.25">
      <c r="A33" s="3" t="s">
        <v>70</v>
      </c>
      <c r="B33" s="4" t="s">
        <v>71</v>
      </c>
      <c r="C33" s="5" t="s">
        <v>28</v>
      </c>
      <c r="D33" s="6">
        <v>0</v>
      </c>
      <c r="E33" s="6">
        <v>0</v>
      </c>
      <c r="F33" s="6">
        <v>0</v>
      </c>
      <c r="G33" s="6">
        <v>36</v>
      </c>
      <c r="H33" s="6">
        <v>0</v>
      </c>
      <c r="I33" s="6">
        <v>0</v>
      </c>
      <c r="J33" s="6">
        <v>0</v>
      </c>
      <c r="K33" s="6">
        <v>0</v>
      </c>
      <c r="L33" s="6">
        <v>12</v>
      </c>
      <c r="M33" s="6">
        <v>12</v>
      </c>
      <c r="N33" s="6">
        <v>24</v>
      </c>
      <c r="O33" s="6">
        <v>0</v>
      </c>
      <c r="P33" s="7">
        <v>2</v>
      </c>
      <c r="Q33" s="7">
        <v>6</v>
      </c>
      <c r="R33" s="7">
        <v>6</v>
      </c>
      <c r="S33" s="13">
        <v>0</v>
      </c>
      <c r="T33" s="15">
        <v>7.99</v>
      </c>
      <c r="U33" s="8">
        <f>IF(S33="",0,S33)*T33</f>
        <v>0</v>
      </c>
    </row>
    <row r="34" spans="1:21" x14ac:dyDescent="0.25">
      <c r="A34" s="9" t="s">
        <v>72</v>
      </c>
      <c r="B34" s="10"/>
      <c r="C34" s="11" t="s">
        <v>30</v>
      </c>
      <c r="D34" s="12">
        <v>1</v>
      </c>
      <c r="E34" s="12">
        <v>4</v>
      </c>
      <c r="F34" s="12">
        <v>3</v>
      </c>
      <c r="G34" s="12">
        <v>8</v>
      </c>
      <c r="H34" s="12">
        <v>13</v>
      </c>
      <c r="I34" s="12">
        <v>16</v>
      </c>
      <c r="J34" s="12">
        <v>1</v>
      </c>
      <c r="K34" s="12">
        <v>6</v>
      </c>
      <c r="L34" s="12">
        <v>6</v>
      </c>
      <c r="M34" s="12">
        <v>4</v>
      </c>
      <c r="N34" s="12">
        <v>17</v>
      </c>
      <c r="O34" s="12">
        <v>3</v>
      </c>
      <c r="P34" s="10"/>
      <c r="Q34" s="10"/>
      <c r="R34" s="10"/>
      <c r="S34" s="14"/>
      <c r="T34" s="14"/>
    </row>
    <row r="35" spans="1:21" x14ac:dyDescent="0.25">
      <c r="A35" s="3" t="s">
        <v>73</v>
      </c>
      <c r="B35" s="4" t="s">
        <v>74</v>
      </c>
      <c r="C35" s="5" t="s">
        <v>28</v>
      </c>
      <c r="D35" s="6">
        <v>12</v>
      </c>
      <c r="E35" s="6">
        <v>0</v>
      </c>
      <c r="F35" s="6">
        <v>12</v>
      </c>
      <c r="G35" s="6">
        <v>0</v>
      </c>
      <c r="H35" s="6">
        <v>12</v>
      </c>
      <c r="I35" s="6">
        <v>12</v>
      </c>
      <c r="J35" s="6">
        <v>0</v>
      </c>
      <c r="K35" s="6">
        <v>0</v>
      </c>
      <c r="L35" s="6">
        <v>0</v>
      </c>
      <c r="M35" s="6">
        <v>8</v>
      </c>
      <c r="N35" s="6">
        <v>24</v>
      </c>
      <c r="O35" s="6">
        <v>0</v>
      </c>
      <c r="P35" s="7">
        <v>17</v>
      </c>
      <c r="Q35" s="7">
        <v>6</v>
      </c>
      <c r="R35" s="7">
        <v>0</v>
      </c>
      <c r="S35" s="13">
        <v>0</v>
      </c>
      <c r="T35" s="15">
        <v>7.99</v>
      </c>
      <c r="U35" s="8">
        <f>IF(S35="",0,S35)*T35</f>
        <v>0</v>
      </c>
    </row>
    <row r="36" spans="1:21" x14ac:dyDescent="0.25">
      <c r="A36" s="9" t="s">
        <v>75</v>
      </c>
      <c r="B36" s="10"/>
      <c r="C36" s="11" t="s">
        <v>30</v>
      </c>
      <c r="D36" s="12">
        <v>3</v>
      </c>
      <c r="E36" s="12">
        <v>3</v>
      </c>
      <c r="F36" s="12">
        <v>4</v>
      </c>
      <c r="G36" s="12">
        <v>2</v>
      </c>
      <c r="H36" s="12">
        <v>11</v>
      </c>
      <c r="I36" s="12">
        <v>7</v>
      </c>
      <c r="J36" s="12">
        <v>9</v>
      </c>
      <c r="K36" s="12">
        <v>3</v>
      </c>
      <c r="L36" s="12">
        <v>0</v>
      </c>
      <c r="M36" s="12">
        <v>1</v>
      </c>
      <c r="N36" s="12">
        <v>17</v>
      </c>
      <c r="O36" s="12">
        <v>3</v>
      </c>
      <c r="P36" s="10"/>
      <c r="Q36" s="10"/>
      <c r="R36" s="10"/>
      <c r="S36" s="14"/>
      <c r="T36" s="14"/>
    </row>
    <row r="37" spans="1:21" x14ac:dyDescent="0.25">
      <c r="A37" s="3" t="s">
        <v>76</v>
      </c>
      <c r="B37" s="4" t="s">
        <v>77</v>
      </c>
      <c r="C37" s="5" t="s">
        <v>28</v>
      </c>
      <c r="D37" s="6">
        <v>48</v>
      </c>
      <c r="E37" s="6">
        <v>24</v>
      </c>
      <c r="F37" s="6">
        <v>72</v>
      </c>
      <c r="G37" s="6">
        <v>0</v>
      </c>
      <c r="H37" s="6">
        <v>72</v>
      </c>
      <c r="I37" s="6">
        <v>24</v>
      </c>
      <c r="J37" s="6">
        <v>24</v>
      </c>
      <c r="K37" s="6">
        <v>24</v>
      </c>
      <c r="L37" s="6">
        <v>24</v>
      </c>
      <c r="M37" s="6">
        <v>48</v>
      </c>
      <c r="N37" s="6">
        <v>48</v>
      </c>
      <c r="O37" s="6">
        <v>24</v>
      </c>
      <c r="P37" s="7">
        <v>34</v>
      </c>
      <c r="Q37" s="7">
        <v>24</v>
      </c>
      <c r="R37" s="7">
        <v>24</v>
      </c>
      <c r="S37" s="13">
        <v>0</v>
      </c>
      <c r="T37" s="15">
        <v>0.85</v>
      </c>
      <c r="U37" s="8">
        <f>IF(S37="",0,S37)*T37</f>
        <v>0</v>
      </c>
    </row>
    <row r="38" spans="1:21" x14ac:dyDescent="0.25">
      <c r="A38" s="9" t="s">
        <v>78</v>
      </c>
      <c r="B38" s="10"/>
      <c r="C38" s="11" t="s">
        <v>30</v>
      </c>
      <c r="D38" s="12">
        <v>27</v>
      </c>
      <c r="E38" s="12">
        <v>47</v>
      </c>
      <c r="F38" s="12">
        <v>6</v>
      </c>
      <c r="G38" s="12">
        <v>65</v>
      </c>
      <c r="H38" s="12">
        <v>44</v>
      </c>
      <c r="I38" s="12">
        <v>13</v>
      </c>
      <c r="J38" s="12">
        <v>29</v>
      </c>
      <c r="K38" s="12">
        <v>36</v>
      </c>
      <c r="L38" s="12">
        <v>24</v>
      </c>
      <c r="M38" s="12">
        <v>31</v>
      </c>
      <c r="N38" s="12">
        <v>56</v>
      </c>
      <c r="O38" s="12">
        <v>20</v>
      </c>
      <c r="P38" s="10"/>
      <c r="Q38" s="10"/>
      <c r="R38" s="10"/>
      <c r="S38" s="14"/>
      <c r="T38" s="14"/>
    </row>
    <row r="39" spans="1:21" x14ac:dyDescent="0.25">
      <c r="A39" s="3" t="s">
        <v>79</v>
      </c>
      <c r="B39" s="4" t="s">
        <v>80</v>
      </c>
      <c r="C39" s="5" t="s">
        <v>28</v>
      </c>
      <c r="D39" s="6">
        <v>50</v>
      </c>
      <c r="E39" s="6">
        <v>0</v>
      </c>
      <c r="F39" s="6">
        <v>50</v>
      </c>
      <c r="G39" s="6">
        <v>0</v>
      </c>
      <c r="H39" s="6">
        <v>50</v>
      </c>
      <c r="I39" s="6">
        <v>50</v>
      </c>
      <c r="J39" s="6">
        <v>0</v>
      </c>
      <c r="K39" s="6">
        <v>0</v>
      </c>
      <c r="L39" s="6">
        <v>50</v>
      </c>
      <c r="M39" s="6">
        <v>50</v>
      </c>
      <c r="N39" s="6">
        <v>50</v>
      </c>
      <c r="O39" s="6">
        <v>50</v>
      </c>
      <c r="P39" s="7">
        <v>19</v>
      </c>
      <c r="Q39" s="7">
        <v>25</v>
      </c>
      <c r="R39" s="7">
        <v>25</v>
      </c>
      <c r="S39" s="13">
        <v>0</v>
      </c>
      <c r="T39" s="15">
        <v>5.2</v>
      </c>
      <c r="U39" s="8">
        <f>IF(S39="",0,S39)*T39</f>
        <v>0</v>
      </c>
    </row>
    <row r="40" spans="1:21" x14ac:dyDescent="0.25">
      <c r="A40" s="9" t="s">
        <v>81</v>
      </c>
      <c r="B40" s="10"/>
      <c r="C40" s="11" t="s">
        <v>30</v>
      </c>
      <c r="D40" s="12">
        <v>21</v>
      </c>
      <c r="E40" s="12">
        <v>24</v>
      </c>
      <c r="F40" s="12">
        <v>23</v>
      </c>
      <c r="G40" s="12">
        <v>33</v>
      </c>
      <c r="H40" s="12">
        <v>31</v>
      </c>
      <c r="I40" s="12">
        <v>30</v>
      </c>
      <c r="J40" s="12">
        <v>27</v>
      </c>
      <c r="K40" s="12">
        <v>34</v>
      </c>
      <c r="L40" s="12">
        <v>25</v>
      </c>
      <c r="M40" s="12">
        <v>35</v>
      </c>
      <c r="N40" s="12">
        <v>59</v>
      </c>
      <c r="O40" s="12">
        <v>39</v>
      </c>
      <c r="P40" s="10"/>
      <c r="Q40" s="10"/>
      <c r="R40" s="10"/>
      <c r="S40" s="14"/>
      <c r="T40" s="14"/>
    </row>
    <row r="41" spans="1:21" x14ac:dyDescent="0.25">
      <c r="A41" s="3" t="s">
        <v>82</v>
      </c>
      <c r="B41" s="4" t="s">
        <v>83</v>
      </c>
      <c r="C41" s="5" t="s">
        <v>28</v>
      </c>
      <c r="D41" s="6">
        <v>50</v>
      </c>
      <c r="E41" s="6">
        <v>50</v>
      </c>
      <c r="F41" s="6">
        <v>50</v>
      </c>
      <c r="G41" s="6">
        <v>0</v>
      </c>
      <c r="H41" s="6">
        <v>100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7">
        <v>0</v>
      </c>
      <c r="Q41" s="7">
        <v>25</v>
      </c>
      <c r="R41" s="7">
        <v>0</v>
      </c>
      <c r="S41" s="13">
        <v>0</v>
      </c>
      <c r="T41" s="15">
        <v>3.96</v>
      </c>
      <c r="U41" s="8">
        <f>IF(S41="",0,S41)*T41</f>
        <v>0</v>
      </c>
    </row>
    <row r="42" spans="1:21" x14ac:dyDescent="0.25">
      <c r="A42" s="9" t="s">
        <v>84</v>
      </c>
      <c r="B42" s="10"/>
      <c r="C42" s="11" t="s">
        <v>30</v>
      </c>
      <c r="D42" s="12">
        <v>52</v>
      </c>
      <c r="E42" s="12">
        <v>45</v>
      </c>
      <c r="F42" s="12">
        <v>68</v>
      </c>
      <c r="G42" s="12">
        <v>45</v>
      </c>
      <c r="H42" s="12">
        <v>1</v>
      </c>
      <c r="I42" s="12">
        <v>55</v>
      </c>
      <c r="J42" s="12">
        <v>45</v>
      </c>
      <c r="K42" s="12">
        <v>1</v>
      </c>
      <c r="L42" s="12">
        <v>0</v>
      </c>
      <c r="M42" s="12">
        <v>0</v>
      </c>
      <c r="N42" s="12">
        <v>0</v>
      </c>
      <c r="O42" s="12">
        <v>0</v>
      </c>
      <c r="P42" s="10"/>
      <c r="Q42" s="10"/>
      <c r="R42" s="10"/>
      <c r="S42" s="14"/>
      <c r="T42" s="14"/>
    </row>
    <row r="43" spans="1:21" x14ac:dyDescent="0.25">
      <c r="A43" s="3" t="s">
        <v>85</v>
      </c>
      <c r="B43" s="4" t="s">
        <v>86</v>
      </c>
      <c r="C43" s="5" t="s">
        <v>28</v>
      </c>
      <c r="D43" s="6">
        <v>0</v>
      </c>
      <c r="E43" s="6">
        <v>0</v>
      </c>
      <c r="F43" s="6">
        <v>50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50</v>
      </c>
      <c r="M43" s="6">
        <v>0</v>
      </c>
      <c r="N43" s="6">
        <v>0</v>
      </c>
      <c r="O43" s="6">
        <v>0</v>
      </c>
      <c r="P43" s="7">
        <v>0</v>
      </c>
      <c r="Q43" s="7">
        <v>20</v>
      </c>
      <c r="R43" s="7">
        <v>0</v>
      </c>
      <c r="S43" s="13">
        <v>0</v>
      </c>
      <c r="T43" s="15">
        <v>2.88</v>
      </c>
      <c r="U43" s="8">
        <f>IF(S43="",0,S43)*T43</f>
        <v>0</v>
      </c>
    </row>
    <row r="44" spans="1:21" x14ac:dyDescent="0.25">
      <c r="A44" s="9" t="s">
        <v>87</v>
      </c>
      <c r="B44" s="10"/>
      <c r="C44" s="11" t="s">
        <v>30</v>
      </c>
      <c r="D44" s="12">
        <v>4</v>
      </c>
      <c r="E44" s="12">
        <v>11</v>
      </c>
      <c r="F44" s="12">
        <v>17</v>
      </c>
      <c r="G44" s="12">
        <v>4</v>
      </c>
      <c r="H44" s="12">
        <v>5</v>
      </c>
      <c r="I44" s="12">
        <v>8</v>
      </c>
      <c r="J44" s="12">
        <v>11</v>
      </c>
      <c r="K44" s="12">
        <v>7</v>
      </c>
      <c r="L44" s="12">
        <v>13</v>
      </c>
      <c r="M44" s="12">
        <v>14</v>
      </c>
      <c r="N44" s="12">
        <v>4</v>
      </c>
      <c r="O44" s="12">
        <v>11</v>
      </c>
      <c r="P44" s="10"/>
      <c r="Q44" s="10"/>
      <c r="R44" s="10"/>
      <c r="S44" s="14"/>
      <c r="T44" s="14"/>
    </row>
    <row r="45" spans="1:21" x14ac:dyDescent="0.25">
      <c r="A45" s="3" t="s">
        <v>88</v>
      </c>
      <c r="B45" s="4" t="s">
        <v>89</v>
      </c>
      <c r="C45" s="5" t="s">
        <v>28</v>
      </c>
      <c r="D45" s="6">
        <v>25</v>
      </c>
      <c r="E45" s="6">
        <v>0</v>
      </c>
      <c r="F45" s="6">
        <v>50</v>
      </c>
      <c r="G45" s="6">
        <v>50</v>
      </c>
      <c r="H45" s="6">
        <v>25</v>
      </c>
      <c r="I45" s="6">
        <v>75</v>
      </c>
      <c r="J45" s="6">
        <v>0</v>
      </c>
      <c r="K45" s="6">
        <v>0</v>
      </c>
      <c r="L45" s="6">
        <v>25</v>
      </c>
      <c r="M45" s="6">
        <v>50</v>
      </c>
      <c r="N45" s="6">
        <v>100</v>
      </c>
      <c r="O45" s="6">
        <v>50</v>
      </c>
      <c r="P45" s="7">
        <v>2</v>
      </c>
      <c r="Q45" s="7">
        <v>25</v>
      </c>
      <c r="R45" s="7">
        <v>25</v>
      </c>
      <c r="S45" s="13">
        <v>0</v>
      </c>
      <c r="T45" s="15">
        <v>5.08</v>
      </c>
      <c r="U45" s="8">
        <f>IF(S45="",0,S45)*T45</f>
        <v>0</v>
      </c>
    </row>
    <row r="46" spans="1:21" x14ac:dyDescent="0.25">
      <c r="A46" s="9" t="s">
        <v>90</v>
      </c>
      <c r="B46" s="10"/>
      <c r="C46" s="11" t="s">
        <v>30</v>
      </c>
      <c r="D46" s="12">
        <v>23</v>
      </c>
      <c r="E46" s="12">
        <v>18</v>
      </c>
      <c r="F46" s="12">
        <v>39</v>
      </c>
      <c r="G46" s="12">
        <v>45</v>
      </c>
      <c r="H46" s="12">
        <v>66</v>
      </c>
      <c r="I46" s="12">
        <v>44</v>
      </c>
      <c r="J46" s="12">
        <v>24</v>
      </c>
      <c r="K46" s="12">
        <v>14</v>
      </c>
      <c r="L46" s="12">
        <v>25</v>
      </c>
      <c r="M46" s="12">
        <v>36</v>
      </c>
      <c r="N46" s="12">
        <v>60</v>
      </c>
      <c r="O46" s="12">
        <v>54</v>
      </c>
      <c r="P46" s="10"/>
      <c r="Q46" s="10"/>
      <c r="R46" s="10"/>
      <c r="S46" s="14"/>
      <c r="T46" s="14"/>
    </row>
    <row r="47" spans="1:21" x14ac:dyDescent="0.25">
      <c r="A47" s="3" t="s">
        <v>91</v>
      </c>
      <c r="B47" s="4" t="s">
        <v>92</v>
      </c>
      <c r="C47" s="5" t="s">
        <v>28</v>
      </c>
      <c r="D47" s="6">
        <v>0</v>
      </c>
      <c r="E47" s="6">
        <v>0</v>
      </c>
      <c r="F47" s="6">
        <v>50</v>
      </c>
      <c r="G47" s="6">
        <v>50</v>
      </c>
      <c r="H47" s="6">
        <v>0</v>
      </c>
      <c r="I47" s="6">
        <v>0</v>
      </c>
      <c r="J47" s="6">
        <v>50</v>
      </c>
      <c r="K47" s="6">
        <v>0</v>
      </c>
      <c r="L47" s="6">
        <v>50</v>
      </c>
      <c r="M47" s="6">
        <v>50</v>
      </c>
      <c r="N47" s="6">
        <v>50</v>
      </c>
      <c r="O47" s="6">
        <v>50</v>
      </c>
      <c r="P47" s="7">
        <v>1</v>
      </c>
      <c r="Q47" s="7">
        <v>25</v>
      </c>
      <c r="R47" s="7">
        <v>25</v>
      </c>
      <c r="S47" s="13">
        <v>0</v>
      </c>
      <c r="T47" s="15">
        <v>5.5</v>
      </c>
      <c r="U47" s="8">
        <f>IF(S47="",0,S47)*T47</f>
        <v>0</v>
      </c>
    </row>
    <row r="48" spans="1:21" x14ac:dyDescent="0.25">
      <c r="A48" s="9" t="s">
        <v>93</v>
      </c>
      <c r="B48" s="10"/>
      <c r="C48" s="11" t="s">
        <v>30</v>
      </c>
      <c r="D48" s="12">
        <v>14</v>
      </c>
      <c r="E48" s="12">
        <v>29</v>
      </c>
      <c r="F48" s="12">
        <v>21</v>
      </c>
      <c r="G48" s="12">
        <v>17</v>
      </c>
      <c r="H48" s="12">
        <v>25</v>
      </c>
      <c r="I48" s="12">
        <v>25</v>
      </c>
      <c r="J48" s="12">
        <v>36</v>
      </c>
      <c r="K48" s="12">
        <v>39</v>
      </c>
      <c r="L48" s="12">
        <v>25</v>
      </c>
      <c r="M48" s="12">
        <v>36</v>
      </c>
      <c r="N48" s="12">
        <v>32</v>
      </c>
      <c r="O48" s="12">
        <v>50</v>
      </c>
      <c r="P48" s="10"/>
      <c r="Q48" s="10"/>
      <c r="R48" s="10"/>
      <c r="S48" s="14"/>
      <c r="T48" s="14"/>
    </row>
    <row r="49" spans="1:21" x14ac:dyDescent="0.25">
      <c r="A49" s="3" t="s">
        <v>94</v>
      </c>
      <c r="B49" s="4" t="s">
        <v>95</v>
      </c>
      <c r="C49" s="5" t="s">
        <v>28</v>
      </c>
      <c r="D49" s="6">
        <v>0</v>
      </c>
      <c r="E49" s="6">
        <v>20</v>
      </c>
      <c r="F49" s="6">
        <v>0</v>
      </c>
      <c r="G49" s="6">
        <v>20</v>
      </c>
      <c r="H49" s="6">
        <v>0</v>
      </c>
      <c r="I49" s="6">
        <v>20</v>
      </c>
      <c r="J49" s="6">
        <v>0</v>
      </c>
      <c r="K49" s="6">
        <v>0</v>
      </c>
      <c r="L49" s="6">
        <v>0</v>
      </c>
      <c r="M49" s="6">
        <v>0</v>
      </c>
      <c r="N49" s="6">
        <v>20</v>
      </c>
      <c r="O49" s="6">
        <v>0</v>
      </c>
      <c r="P49" s="7">
        <v>0</v>
      </c>
      <c r="Q49" s="7">
        <v>25</v>
      </c>
      <c r="R49" s="7">
        <v>0</v>
      </c>
      <c r="S49" s="13">
        <v>0</v>
      </c>
      <c r="T49" s="15">
        <v>9.89</v>
      </c>
      <c r="U49" s="8">
        <f>IF(S49="",0,S49)*T49</f>
        <v>0</v>
      </c>
    </row>
    <row r="50" spans="1:21" x14ac:dyDescent="0.25">
      <c r="A50" s="9" t="s">
        <v>96</v>
      </c>
      <c r="B50" s="10"/>
      <c r="C50" s="11" t="s">
        <v>30</v>
      </c>
      <c r="D50" s="12">
        <v>8</v>
      </c>
      <c r="E50" s="12">
        <v>7</v>
      </c>
      <c r="F50" s="12">
        <v>11</v>
      </c>
      <c r="G50" s="12">
        <v>5</v>
      </c>
      <c r="H50" s="12">
        <v>10</v>
      </c>
      <c r="I50" s="12">
        <v>14</v>
      </c>
      <c r="J50" s="12">
        <v>6</v>
      </c>
      <c r="K50" s="12">
        <v>15</v>
      </c>
      <c r="L50" s="12">
        <v>7</v>
      </c>
      <c r="M50" s="12">
        <v>0</v>
      </c>
      <c r="N50" s="12">
        <v>8</v>
      </c>
      <c r="O50" s="12">
        <v>7</v>
      </c>
      <c r="P50" s="10"/>
      <c r="Q50" s="10"/>
      <c r="R50" s="10"/>
      <c r="S50" s="14"/>
      <c r="T50" s="14"/>
    </row>
    <row r="51" spans="1:21" x14ac:dyDescent="0.25">
      <c r="A51" s="3" t="s">
        <v>97</v>
      </c>
      <c r="B51" s="4" t="s">
        <v>98</v>
      </c>
      <c r="C51" s="5" t="s">
        <v>28</v>
      </c>
      <c r="D51" s="6">
        <v>0</v>
      </c>
      <c r="E51" s="6">
        <v>0</v>
      </c>
      <c r="F51" s="6">
        <v>50</v>
      </c>
      <c r="G51" s="6">
        <v>25</v>
      </c>
      <c r="H51" s="6">
        <v>0</v>
      </c>
      <c r="I51" s="6">
        <v>0</v>
      </c>
      <c r="J51" s="6">
        <v>0</v>
      </c>
      <c r="K51" s="6">
        <v>0</v>
      </c>
      <c r="L51" s="6">
        <v>25</v>
      </c>
      <c r="M51" s="6">
        <v>0</v>
      </c>
      <c r="N51" s="6">
        <v>25</v>
      </c>
      <c r="O51" s="6">
        <v>0</v>
      </c>
      <c r="P51" s="7">
        <v>0</v>
      </c>
      <c r="Q51" s="7">
        <v>25</v>
      </c>
      <c r="R51" s="7">
        <v>0</v>
      </c>
      <c r="S51" s="13">
        <v>0</v>
      </c>
      <c r="T51" s="15">
        <v>5.72</v>
      </c>
      <c r="U51" s="8">
        <f>IF(S51="",0,S51)*T51</f>
        <v>0</v>
      </c>
    </row>
    <row r="52" spans="1:21" x14ac:dyDescent="0.25">
      <c r="A52" s="9" t="s">
        <v>99</v>
      </c>
      <c r="B52" s="10"/>
      <c r="C52" s="11" t="s">
        <v>30</v>
      </c>
      <c r="D52" s="12">
        <v>8</v>
      </c>
      <c r="E52" s="12">
        <v>14</v>
      </c>
      <c r="F52" s="12">
        <v>9</v>
      </c>
      <c r="G52" s="12">
        <v>5</v>
      </c>
      <c r="H52" s="12">
        <v>9</v>
      </c>
      <c r="I52" s="12">
        <v>10</v>
      </c>
      <c r="J52" s="12">
        <v>9</v>
      </c>
      <c r="K52" s="12">
        <v>12</v>
      </c>
      <c r="L52" s="12">
        <v>15</v>
      </c>
      <c r="M52" s="12">
        <v>14</v>
      </c>
      <c r="N52" s="12">
        <v>15</v>
      </c>
      <c r="O52" s="12">
        <v>7</v>
      </c>
      <c r="P52" s="10"/>
      <c r="Q52" s="10"/>
      <c r="R52" s="10"/>
      <c r="S52" s="14"/>
      <c r="T52" s="14"/>
    </row>
    <row r="53" spans="1:21" x14ac:dyDescent="0.25">
      <c r="A53" s="3" t="s">
        <v>100</v>
      </c>
      <c r="B53" s="4" t="s">
        <v>101</v>
      </c>
      <c r="C53" s="5" t="s">
        <v>28</v>
      </c>
      <c r="D53" s="6">
        <v>24</v>
      </c>
      <c r="E53" s="6">
        <v>0</v>
      </c>
      <c r="F53" s="6">
        <v>0</v>
      </c>
      <c r="G53" s="6">
        <v>0</v>
      </c>
      <c r="H53" s="6">
        <v>24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7">
        <v>0</v>
      </c>
      <c r="Q53" s="7">
        <v>45</v>
      </c>
      <c r="R53" s="7">
        <v>0</v>
      </c>
      <c r="S53" s="13">
        <v>0</v>
      </c>
      <c r="T53" s="15">
        <v>1.33</v>
      </c>
      <c r="U53" s="8">
        <f>IF(S53="",0,S53)*T53</f>
        <v>0</v>
      </c>
    </row>
    <row r="54" spans="1:21" x14ac:dyDescent="0.25">
      <c r="A54" s="9" t="s">
        <v>102</v>
      </c>
      <c r="B54" s="10"/>
      <c r="C54" s="11" t="s">
        <v>30</v>
      </c>
      <c r="D54" s="12">
        <v>10</v>
      </c>
      <c r="E54" s="12">
        <v>12</v>
      </c>
      <c r="F54" s="12">
        <v>2</v>
      </c>
      <c r="G54" s="12">
        <v>6</v>
      </c>
      <c r="H54" s="12">
        <v>8</v>
      </c>
      <c r="I54" s="12">
        <v>0</v>
      </c>
      <c r="J54" s="12">
        <v>10</v>
      </c>
      <c r="K54" s="12">
        <v>8</v>
      </c>
      <c r="L54" s="12">
        <v>2</v>
      </c>
      <c r="M54" s="12">
        <v>4</v>
      </c>
      <c r="N54" s="12">
        <v>0</v>
      </c>
      <c r="O54" s="12">
        <v>0</v>
      </c>
      <c r="P54" s="10"/>
      <c r="Q54" s="10"/>
      <c r="R54" s="10"/>
      <c r="S54" s="14"/>
      <c r="T54" s="14"/>
    </row>
    <row r="55" spans="1:21" x14ac:dyDescent="0.25">
      <c r="A55" s="3" t="s">
        <v>103</v>
      </c>
      <c r="B55" s="4" t="s">
        <v>104</v>
      </c>
      <c r="C55" s="5" t="s">
        <v>28</v>
      </c>
      <c r="D55" s="6">
        <v>12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12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7">
        <v>0</v>
      </c>
      <c r="Q55" s="7">
        <v>12</v>
      </c>
      <c r="R55" s="7">
        <v>0</v>
      </c>
      <c r="S55" s="13">
        <v>0</v>
      </c>
      <c r="T55" s="15">
        <v>7.65</v>
      </c>
      <c r="U55" s="8">
        <f>IF(S55="",0,S55)*T55</f>
        <v>0</v>
      </c>
    </row>
    <row r="56" spans="1:21" x14ac:dyDescent="0.25">
      <c r="A56" s="9" t="s">
        <v>105</v>
      </c>
      <c r="B56" s="10"/>
      <c r="C56" s="11" t="s">
        <v>30</v>
      </c>
      <c r="D56" s="12">
        <v>5</v>
      </c>
      <c r="E56" s="12">
        <v>5</v>
      </c>
      <c r="F56" s="12">
        <v>2</v>
      </c>
      <c r="G56" s="12">
        <v>1</v>
      </c>
      <c r="H56" s="12">
        <v>3</v>
      </c>
      <c r="I56" s="12">
        <v>0</v>
      </c>
      <c r="J56" s="12">
        <v>10</v>
      </c>
      <c r="K56" s="12">
        <v>2</v>
      </c>
      <c r="L56" s="12">
        <v>0</v>
      </c>
      <c r="M56" s="12">
        <v>0</v>
      </c>
      <c r="N56" s="12">
        <v>0</v>
      </c>
      <c r="O56" s="12">
        <v>0</v>
      </c>
      <c r="P56" s="10"/>
      <c r="Q56" s="10"/>
      <c r="R56" s="10"/>
      <c r="S56" s="14"/>
      <c r="T56" s="14"/>
    </row>
    <row r="57" spans="1:21" x14ac:dyDescent="0.25">
      <c r="A57" s="3" t="s">
        <v>106</v>
      </c>
      <c r="B57" s="4" t="s">
        <v>107</v>
      </c>
      <c r="C57" s="5" t="s">
        <v>28</v>
      </c>
      <c r="D57" s="6">
        <v>12</v>
      </c>
      <c r="E57" s="6">
        <v>0</v>
      </c>
      <c r="F57" s="6">
        <v>0</v>
      </c>
      <c r="G57" s="6">
        <v>12</v>
      </c>
      <c r="H57" s="6">
        <v>0</v>
      </c>
      <c r="I57" s="6">
        <v>0</v>
      </c>
      <c r="J57" s="6">
        <v>12</v>
      </c>
      <c r="K57" s="6">
        <v>0</v>
      </c>
      <c r="L57" s="6">
        <v>0</v>
      </c>
      <c r="M57" s="6">
        <v>0</v>
      </c>
      <c r="N57" s="6">
        <v>12</v>
      </c>
      <c r="O57" s="6">
        <v>0</v>
      </c>
      <c r="P57" s="7">
        <v>8</v>
      </c>
      <c r="Q57" s="7">
        <v>12</v>
      </c>
      <c r="R57" s="7">
        <v>0</v>
      </c>
      <c r="S57" s="13">
        <v>0</v>
      </c>
      <c r="T57" s="15">
        <v>16.2</v>
      </c>
      <c r="U57" s="8">
        <f>IF(S57="",0,S57)*T57</f>
        <v>0</v>
      </c>
    </row>
    <row r="58" spans="1:21" x14ac:dyDescent="0.25">
      <c r="A58" s="9" t="s">
        <v>108</v>
      </c>
      <c r="B58" s="10"/>
      <c r="C58" s="11" t="s">
        <v>30</v>
      </c>
      <c r="D58" s="12">
        <v>4</v>
      </c>
      <c r="E58" s="12">
        <v>3</v>
      </c>
      <c r="F58" s="12">
        <v>3</v>
      </c>
      <c r="G58" s="12">
        <v>4</v>
      </c>
      <c r="H58" s="12">
        <v>4</v>
      </c>
      <c r="I58" s="12">
        <v>3</v>
      </c>
      <c r="J58" s="12">
        <v>1</v>
      </c>
      <c r="K58" s="12">
        <v>1</v>
      </c>
      <c r="L58" s="12">
        <v>5</v>
      </c>
      <c r="M58" s="12">
        <v>4</v>
      </c>
      <c r="N58" s="12">
        <v>4</v>
      </c>
      <c r="O58" s="12">
        <v>4</v>
      </c>
      <c r="P58" s="10"/>
      <c r="Q58" s="10"/>
      <c r="R58" s="10"/>
      <c r="S58" s="14"/>
      <c r="T58" s="14"/>
    </row>
    <row r="59" spans="1:21" x14ac:dyDescent="0.25">
      <c r="A59" s="3" t="s">
        <v>109</v>
      </c>
      <c r="B59" s="4" t="s">
        <v>110</v>
      </c>
      <c r="C59" s="5" t="s">
        <v>28</v>
      </c>
      <c r="D59" s="6">
        <v>42</v>
      </c>
      <c r="E59" s="6">
        <v>28</v>
      </c>
      <c r="F59" s="6">
        <v>14</v>
      </c>
      <c r="G59" s="6">
        <v>24</v>
      </c>
      <c r="H59" s="6">
        <v>24</v>
      </c>
      <c r="I59" s="6">
        <v>0</v>
      </c>
      <c r="J59" s="6">
        <v>38</v>
      </c>
      <c r="K59" s="6">
        <v>24</v>
      </c>
      <c r="L59" s="6">
        <v>48</v>
      </c>
      <c r="M59" s="6">
        <v>48</v>
      </c>
      <c r="N59" s="6">
        <v>0</v>
      </c>
      <c r="O59" s="6">
        <v>0</v>
      </c>
      <c r="P59" s="7">
        <v>0</v>
      </c>
      <c r="Q59" s="7">
        <v>12</v>
      </c>
      <c r="R59" s="7">
        <v>24</v>
      </c>
      <c r="S59" s="13">
        <v>0</v>
      </c>
      <c r="T59" s="15">
        <v>1.93</v>
      </c>
      <c r="U59" s="8">
        <f>IF(S59="",0,S59)*T59</f>
        <v>0</v>
      </c>
    </row>
    <row r="60" spans="1:21" x14ac:dyDescent="0.25">
      <c r="A60" s="9" t="s">
        <v>111</v>
      </c>
      <c r="B60" s="10"/>
      <c r="C60" s="11" t="s">
        <v>30</v>
      </c>
      <c r="D60" s="12">
        <v>32</v>
      </c>
      <c r="E60" s="12">
        <v>37</v>
      </c>
      <c r="F60" s="12">
        <v>10</v>
      </c>
      <c r="G60" s="12">
        <v>23</v>
      </c>
      <c r="H60" s="12">
        <v>36</v>
      </c>
      <c r="I60" s="12">
        <v>15</v>
      </c>
      <c r="J60" s="12">
        <v>26</v>
      </c>
      <c r="K60" s="12">
        <v>35</v>
      </c>
      <c r="L60" s="12">
        <v>34</v>
      </c>
      <c r="M60" s="12">
        <v>37</v>
      </c>
      <c r="N60" s="12">
        <v>25</v>
      </c>
      <c r="O60" s="12">
        <v>4</v>
      </c>
      <c r="P60" s="10"/>
      <c r="Q60" s="10"/>
      <c r="R60" s="10"/>
      <c r="S60" s="14"/>
      <c r="T60" s="14"/>
    </row>
    <row r="61" spans="1:21" x14ac:dyDescent="0.25">
      <c r="A61" s="3" t="s">
        <v>112</v>
      </c>
      <c r="B61" s="4" t="s">
        <v>113</v>
      </c>
      <c r="C61" s="5" t="s">
        <v>28</v>
      </c>
      <c r="D61" s="6">
        <v>12</v>
      </c>
      <c r="E61" s="6">
        <v>0</v>
      </c>
      <c r="F61" s="6">
        <v>0</v>
      </c>
      <c r="G61" s="6">
        <v>24</v>
      </c>
      <c r="H61" s="6">
        <v>0</v>
      </c>
      <c r="I61" s="6">
        <v>0</v>
      </c>
      <c r="J61" s="6">
        <v>12</v>
      </c>
      <c r="K61" s="6">
        <v>12</v>
      </c>
      <c r="L61" s="6">
        <v>12</v>
      </c>
      <c r="M61" s="6">
        <v>0</v>
      </c>
      <c r="N61" s="6">
        <v>24</v>
      </c>
      <c r="O61" s="6">
        <v>0</v>
      </c>
      <c r="P61" s="7">
        <v>4</v>
      </c>
      <c r="Q61" s="7">
        <v>12</v>
      </c>
      <c r="R61" s="7">
        <v>0</v>
      </c>
      <c r="S61" s="13">
        <v>0</v>
      </c>
      <c r="T61" s="15">
        <v>6.1</v>
      </c>
      <c r="U61" s="8">
        <f>IF(S61="",0,S61)*T61</f>
        <v>0</v>
      </c>
    </row>
    <row r="62" spans="1:21" x14ac:dyDescent="0.25">
      <c r="A62" s="9" t="s">
        <v>114</v>
      </c>
      <c r="B62" s="10"/>
      <c r="C62" s="11" t="s">
        <v>30</v>
      </c>
      <c r="D62" s="12">
        <v>6</v>
      </c>
      <c r="E62" s="12">
        <v>11</v>
      </c>
      <c r="F62" s="12">
        <v>2</v>
      </c>
      <c r="G62" s="12">
        <v>11</v>
      </c>
      <c r="H62" s="12">
        <v>6</v>
      </c>
      <c r="I62" s="12">
        <v>2</v>
      </c>
      <c r="J62" s="12">
        <v>10</v>
      </c>
      <c r="K62" s="12">
        <v>11</v>
      </c>
      <c r="L62" s="12">
        <v>8</v>
      </c>
      <c r="M62" s="12">
        <v>2</v>
      </c>
      <c r="N62" s="12">
        <v>12</v>
      </c>
      <c r="O62" s="12">
        <v>11</v>
      </c>
      <c r="P62" s="10"/>
      <c r="Q62" s="10"/>
      <c r="R62" s="10"/>
      <c r="S62" s="14"/>
      <c r="T62" s="14"/>
    </row>
    <row r="63" spans="1:21" x14ac:dyDescent="0.25">
      <c r="A63" s="3" t="s">
        <v>115</v>
      </c>
      <c r="B63" s="4" t="s">
        <v>116</v>
      </c>
      <c r="C63" s="5" t="s">
        <v>28</v>
      </c>
      <c r="D63" s="6">
        <v>0</v>
      </c>
      <c r="E63" s="6">
        <v>0</v>
      </c>
      <c r="F63" s="6">
        <v>12</v>
      </c>
      <c r="G63" s="6">
        <v>0</v>
      </c>
      <c r="H63" s="6">
        <v>0</v>
      </c>
      <c r="I63" s="6">
        <v>12</v>
      </c>
      <c r="J63" s="6">
        <v>0</v>
      </c>
      <c r="K63" s="6">
        <v>0</v>
      </c>
      <c r="L63" s="6">
        <v>0</v>
      </c>
      <c r="M63" s="6">
        <v>12</v>
      </c>
      <c r="N63" s="6">
        <v>0</v>
      </c>
      <c r="O63" s="6">
        <v>0</v>
      </c>
      <c r="P63" s="7">
        <v>3</v>
      </c>
      <c r="Q63" s="7">
        <v>12</v>
      </c>
      <c r="R63" s="7">
        <v>0</v>
      </c>
      <c r="S63" s="13">
        <v>0</v>
      </c>
      <c r="T63" s="15">
        <v>11.14</v>
      </c>
      <c r="U63" s="8">
        <f>IF(S63="",0,S63)*T63</f>
        <v>0</v>
      </c>
    </row>
    <row r="64" spans="1:21" x14ac:dyDescent="0.25">
      <c r="A64" s="9" t="s">
        <v>117</v>
      </c>
      <c r="B64" s="10"/>
      <c r="C64" s="11" t="s">
        <v>30</v>
      </c>
      <c r="D64" s="12">
        <v>3</v>
      </c>
      <c r="E64" s="12">
        <v>4</v>
      </c>
      <c r="F64" s="12">
        <v>3</v>
      </c>
      <c r="G64" s="12">
        <v>3</v>
      </c>
      <c r="H64" s="12">
        <v>1</v>
      </c>
      <c r="I64" s="12">
        <v>2</v>
      </c>
      <c r="J64" s="12">
        <v>4</v>
      </c>
      <c r="K64" s="12">
        <v>0</v>
      </c>
      <c r="L64" s="12">
        <v>5</v>
      </c>
      <c r="M64" s="12">
        <v>3</v>
      </c>
      <c r="N64" s="12">
        <v>4</v>
      </c>
      <c r="O64" s="12">
        <v>1</v>
      </c>
      <c r="P64" s="10"/>
      <c r="Q64" s="10"/>
      <c r="R64" s="10"/>
      <c r="S64" s="14"/>
      <c r="T64" s="14"/>
    </row>
    <row r="65" spans="1:21" x14ac:dyDescent="0.25">
      <c r="A65" s="3" t="s">
        <v>118</v>
      </c>
      <c r="B65" s="4" t="s">
        <v>119</v>
      </c>
      <c r="C65" s="5" t="s">
        <v>28</v>
      </c>
      <c r="D65" s="6">
        <v>0</v>
      </c>
      <c r="E65" s="6">
        <v>12</v>
      </c>
      <c r="F65" s="6">
        <v>0</v>
      </c>
      <c r="G65" s="6">
        <v>0</v>
      </c>
      <c r="H65" s="6">
        <v>12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7">
        <v>0</v>
      </c>
      <c r="Q65" s="7">
        <v>1</v>
      </c>
      <c r="R65" s="7">
        <v>1</v>
      </c>
      <c r="S65" s="13">
        <v>0</v>
      </c>
      <c r="T65" s="15">
        <v>5</v>
      </c>
      <c r="U65" s="8">
        <f>IF(S65="",0,S65)*T65</f>
        <v>0</v>
      </c>
    </row>
    <row r="66" spans="1:21" x14ac:dyDescent="0.25">
      <c r="A66" s="9" t="s">
        <v>120</v>
      </c>
      <c r="B66" s="10"/>
      <c r="C66" s="11" t="s">
        <v>30</v>
      </c>
      <c r="D66" s="12">
        <v>9</v>
      </c>
      <c r="E66" s="12">
        <v>5</v>
      </c>
      <c r="F66" s="12">
        <v>8</v>
      </c>
      <c r="G66" s="12">
        <v>4</v>
      </c>
      <c r="H66" s="12">
        <v>0</v>
      </c>
      <c r="I66" s="12">
        <v>6</v>
      </c>
      <c r="J66" s="12">
        <v>6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0"/>
      <c r="Q66" s="10"/>
      <c r="R66" s="10"/>
      <c r="S66" s="14"/>
      <c r="T66" s="14"/>
    </row>
    <row r="67" spans="1:21" x14ac:dyDescent="0.25">
      <c r="A67" s="3" t="s">
        <v>121</v>
      </c>
      <c r="B67" s="4" t="s">
        <v>122</v>
      </c>
      <c r="C67" s="5" t="s">
        <v>28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40</v>
      </c>
      <c r="L67" s="6">
        <v>0</v>
      </c>
      <c r="M67" s="6">
        <v>0</v>
      </c>
      <c r="N67" s="6">
        <v>0</v>
      </c>
      <c r="O67" s="6">
        <v>0</v>
      </c>
      <c r="P67" s="7">
        <v>0</v>
      </c>
      <c r="Q67" s="7">
        <v>1</v>
      </c>
      <c r="R67" s="7">
        <v>6</v>
      </c>
      <c r="S67" s="13">
        <v>0</v>
      </c>
      <c r="T67" s="15">
        <v>4.91</v>
      </c>
      <c r="U67" s="8">
        <f>IF(S67="",0,S67)*T67</f>
        <v>0</v>
      </c>
    </row>
    <row r="68" spans="1:21" x14ac:dyDescent="0.25">
      <c r="A68" s="9" t="s">
        <v>123</v>
      </c>
      <c r="B68" s="10"/>
      <c r="C68" s="11" t="s">
        <v>30</v>
      </c>
      <c r="D68" s="12">
        <v>7</v>
      </c>
      <c r="E68" s="12">
        <v>7</v>
      </c>
      <c r="F68" s="12">
        <v>4</v>
      </c>
      <c r="G68" s="12">
        <v>7</v>
      </c>
      <c r="H68" s="12">
        <v>2</v>
      </c>
      <c r="I68" s="12">
        <v>3</v>
      </c>
      <c r="J68" s="12">
        <v>2</v>
      </c>
      <c r="K68" s="12">
        <v>4</v>
      </c>
      <c r="L68" s="12">
        <v>10</v>
      </c>
      <c r="M68" s="12">
        <v>7</v>
      </c>
      <c r="N68" s="12">
        <v>13</v>
      </c>
      <c r="O68" s="12">
        <v>4</v>
      </c>
      <c r="P68" s="10"/>
      <c r="Q68" s="10"/>
      <c r="R68" s="10"/>
      <c r="S68" s="14"/>
      <c r="T68" s="14"/>
    </row>
    <row r="69" spans="1:21" x14ac:dyDescent="0.25">
      <c r="A69" s="3" t="s">
        <v>124</v>
      </c>
      <c r="B69" s="4" t="s">
        <v>125</v>
      </c>
      <c r="C69" s="5" t="s">
        <v>28</v>
      </c>
      <c r="D69" s="6">
        <v>240</v>
      </c>
      <c r="E69" s="6">
        <v>0</v>
      </c>
      <c r="F69" s="6">
        <v>120</v>
      </c>
      <c r="G69" s="6">
        <v>120</v>
      </c>
      <c r="H69" s="6">
        <v>0</v>
      </c>
      <c r="I69" s="6">
        <v>60</v>
      </c>
      <c r="J69" s="6">
        <v>60</v>
      </c>
      <c r="K69" s="6">
        <v>60</v>
      </c>
      <c r="L69" s="6">
        <v>60</v>
      </c>
      <c r="M69" s="6">
        <v>120</v>
      </c>
      <c r="N69" s="6">
        <v>0</v>
      </c>
      <c r="O69" s="6">
        <v>0</v>
      </c>
      <c r="P69" s="7">
        <v>53</v>
      </c>
      <c r="Q69" s="7">
        <v>10</v>
      </c>
      <c r="R69" s="7">
        <v>50</v>
      </c>
      <c r="S69" s="13">
        <v>0</v>
      </c>
      <c r="T69" s="15">
        <v>0.85</v>
      </c>
      <c r="U69" s="8">
        <f>IF(S69="",0,S69)*T69</f>
        <v>0</v>
      </c>
    </row>
    <row r="70" spans="1:21" x14ac:dyDescent="0.25">
      <c r="A70" s="9" t="s">
        <v>126</v>
      </c>
      <c r="B70" s="10"/>
      <c r="C70" s="11" t="s">
        <v>30</v>
      </c>
      <c r="D70" s="12">
        <v>119</v>
      </c>
      <c r="E70" s="12">
        <v>109</v>
      </c>
      <c r="F70" s="12">
        <v>49</v>
      </c>
      <c r="G70" s="12">
        <v>68</v>
      </c>
      <c r="H70" s="12">
        <v>23</v>
      </c>
      <c r="I70" s="12">
        <v>82</v>
      </c>
      <c r="J70" s="12">
        <v>61</v>
      </c>
      <c r="K70" s="12">
        <v>84</v>
      </c>
      <c r="L70" s="12">
        <v>65</v>
      </c>
      <c r="M70" s="12">
        <v>54</v>
      </c>
      <c r="N70" s="12">
        <v>73</v>
      </c>
      <c r="O70" s="12">
        <v>0</v>
      </c>
      <c r="P70" s="10"/>
      <c r="Q70" s="10"/>
      <c r="R70" s="10"/>
      <c r="S70" s="14"/>
      <c r="T70" s="14"/>
    </row>
    <row r="71" spans="1:21" x14ac:dyDescent="0.25">
      <c r="A71" s="3" t="s">
        <v>127</v>
      </c>
      <c r="B71" s="4" t="s">
        <v>128</v>
      </c>
      <c r="C71" s="5" t="s">
        <v>28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960</v>
      </c>
      <c r="L71" s="6">
        <v>1800</v>
      </c>
      <c r="M71" s="6">
        <v>0</v>
      </c>
      <c r="N71" s="6">
        <v>0</v>
      </c>
      <c r="O71" s="6">
        <v>0</v>
      </c>
      <c r="P71" s="7">
        <v>7</v>
      </c>
      <c r="Q71" s="7">
        <v>1</v>
      </c>
      <c r="R71" s="7">
        <v>458</v>
      </c>
      <c r="S71" s="13">
        <v>0</v>
      </c>
      <c r="T71" s="15">
        <v>5.94</v>
      </c>
      <c r="U71" s="8">
        <f>IF(S71="",0,S71)*T71</f>
        <v>0</v>
      </c>
    </row>
    <row r="72" spans="1:21" x14ac:dyDescent="0.25">
      <c r="A72" s="9" t="s">
        <v>129</v>
      </c>
      <c r="B72" s="10"/>
      <c r="C72" s="11" t="s">
        <v>30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959</v>
      </c>
      <c r="L72" s="12">
        <v>1545</v>
      </c>
      <c r="M72" s="12">
        <v>249</v>
      </c>
      <c r="N72" s="12">
        <v>0</v>
      </c>
      <c r="O72" s="12">
        <v>0</v>
      </c>
      <c r="P72" s="10"/>
      <c r="Q72" s="10"/>
      <c r="R72" s="10"/>
      <c r="S72" s="14"/>
      <c r="T72" s="14"/>
    </row>
    <row r="73" spans="1:21" x14ac:dyDescent="0.25">
      <c r="A73" s="3" t="s">
        <v>130</v>
      </c>
      <c r="B73" s="4" t="s">
        <v>131</v>
      </c>
      <c r="C73" s="5" t="s">
        <v>28</v>
      </c>
      <c r="D73" s="6">
        <v>24</v>
      </c>
      <c r="E73" s="6">
        <v>24</v>
      </c>
      <c r="F73" s="6">
        <v>0</v>
      </c>
      <c r="G73" s="6">
        <v>48</v>
      </c>
      <c r="H73" s="6">
        <v>0</v>
      </c>
      <c r="I73" s="6">
        <v>24</v>
      </c>
      <c r="J73" s="6">
        <v>0</v>
      </c>
      <c r="K73" s="6">
        <v>24</v>
      </c>
      <c r="L73" s="6">
        <v>24</v>
      </c>
      <c r="M73" s="6">
        <v>0</v>
      </c>
      <c r="N73" s="6">
        <v>24</v>
      </c>
      <c r="O73" s="6">
        <v>0</v>
      </c>
      <c r="P73" s="7">
        <v>0</v>
      </c>
      <c r="Q73" s="7">
        <v>12</v>
      </c>
      <c r="R73" s="7">
        <v>12</v>
      </c>
      <c r="S73" s="13">
        <v>0</v>
      </c>
      <c r="T73" s="15">
        <v>5.73</v>
      </c>
      <c r="U73" s="8">
        <f>IF(S73="",0,S73)*T73</f>
        <v>0</v>
      </c>
    </row>
    <row r="74" spans="1:21" x14ac:dyDescent="0.25">
      <c r="A74" s="9" t="s">
        <v>132</v>
      </c>
      <c r="B74" s="10"/>
      <c r="C74" s="11" t="s">
        <v>30</v>
      </c>
      <c r="D74" s="12">
        <v>22</v>
      </c>
      <c r="E74" s="12">
        <v>23</v>
      </c>
      <c r="F74" s="12">
        <v>30</v>
      </c>
      <c r="G74" s="12">
        <v>27</v>
      </c>
      <c r="H74" s="12">
        <v>6</v>
      </c>
      <c r="I74" s="12">
        <v>7</v>
      </c>
      <c r="J74" s="12">
        <v>15</v>
      </c>
      <c r="K74" s="12">
        <v>23</v>
      </c>
      <c r="L74" s="12">
        <v>12</v>
      </c>
      <c r="M74" s="12">
        <v>12</v>
      </c>
      <c r="N74" s="12">
        <v>14</v>
      </c>
      <c r="O74" s="12">
        <v>17</v>
      </c>
      <c r="P74" s="10"/>
      <c r="Q74" s="10"/>
      <c r="R74" s="10"/>
      <c r="S74" s="14"/>
      <c r="T74" s="14"/>
    </row>
    <row r="75" spans="1:21" x14ac:dyDescent="0.25">
      <c r="A75" s="3" t="s">
        <v>133</v>
      </c>
      <c r="B75" s="4" t="s">
        <v>134</v>
      </c>
      <c r="C75" s="5" t="s">
        <v>28</v>
      </c>
      <c r="D75" s="6">
        <v>0</v>
      </c>
      <c r="E75" s="6">
        <v>0</v>
      </c>
      <c r="F75" s="6">
        <v>0</v>
      </c>
      <c r="G75" s="6">
        <v>24</v>
      </c>
      <c r="H75" s="6">
        <v>0</v>
      </c>
      <c r="I75" s="6">
        <v>0</v>
      </c>
      <c r="J75" s="6">
        <v>0</v>
      </c>
      <c r="K75" s="6">
        <v>0</v>
      </c>
      <c r="L75" s="6">
        <v>24</v>
      </c>
      <c r="M75" s="6">
        <v>0</v>
      </c>
      <c r="N75" s="6">
        <v>0</v>
      </c>
      <c r="O75" s="6">
        <v>0</v>
      </c>
      <c r="P75" s="7">
        <v>0</v>
      </c>
      <c r="Q75" s="7">
        <v>24</v>
      </c>
      <c r="R75" s="7">
        <v>0</v>
      </c>
      <c r="S75" s="13">
        <v>0</v>
      </c>
      <c r="T75" s="15">
        <v>4.29</v>
      </c>
      <c r="U75" s="8">
        <f>IF(S75="",0,S75)*T75</f>
        <v>0</v>
      </c>
    </row>
    <row r="76" spans="1:21" x14ac:dyDescent="0.25">
      <c r="A76" s="9" t="s">
        <v>135</v>
      </c>
      <c r="B76" s="10"/>
      <c r="C76" s="11" t="s">
        <v>30</v>
      </c>
      <c r="D76" s="12">
        <v>8</v>
      </c>
      <c r="E76" s="12">
        <v>2</v>
      </c>
      <c r="F76" s="12">
        <v>25</v>
      </c>
      <c r="G76" s="12">
        <v>2</v>
      </c>
      <c r="H76" s="12">
        <v>4</v>
      </c>
      <c r="I76" s="12">
        <v>6</v>
      </c>
      <c r="J76" s="12">
        <v>2</v>
      </c>
      <c r="K76" s="12">
        <v>4</v>
      </c>
      <c r="L76" s="12">
        <v>3</v>
      </c>
      <c r="M76" s="12">
        <v>6</v>
      </c>
      <c r="N76" s="12">
        <v>5</v>
      </c>
      <c r="O76" s="12">
        <v>8</v>
      </c>
      <c r="P76" s="10"/>
      <c r="Q76" s="10"/>
      <c r="R76" s="10"/>
      <c r="S76" s="14"/>
      <c r="T76" s="14"/>
    </row>
    <row r="77" spans="1:21" x14ac:dyDescent="0.25">
      <c r="A77" s="3" t="s">
        <v>136</v>
      </c>
      <c r="B77" s="4" t="s">
        <v>137</v>
      </c>
      <c r="C77" s="5" t="s">
        <v>28</v>
      </c>
      <c r="D77" s="6">
        <v>0</v>
      </c>
      <c r="E77" s="6">
        <v>0</v>
      </c>
      <c r="F77" s="6">
        <v>40</v>
      </c>
      <c r="G77" s="6">
        <v>0</v>
      </c>
      <c r="H77" s="6">
        <v>0</v>
      </c>
      <c r="I77" s="6">
        <v>0</v>
      </c>
      <c r="J77" s="6">
        <v>40</v>
      </c>
      <c r="K77" s="6">
        <v>0</v>
      </c>
      <c r="L77" s="6">
        <v>40</v>
      </c>
      <c r="M77" s="6">
        <v>0</v>
      </c>
      <c r="N77" s="6">
        <v>40</v>
      </c>
      <c r="O77" s="6">
        <v>0</v>
      </c>
      <c r="P77" s="7">
        <v>0</v>
      </c>
      <c r="Q77" s="7">
        <v>120</v>
      </c>
      <c r="R77" s="7">
        <v>0</v>
      </c>
      <c r="S77" s="13">
        <v>0</v>
      </c>
      <c r="T77" s="15">
        <v>3.33</v>
      </c>
      <c r="U77" s="8">
        <f>IF(S77="",0,S77)*T77</f>
        <v>0</v>
      </c>
    </row>
    <row r="78" spans="1:21" x14ac:dyDescent="0.25">
      <c r="A78" s="9" t="s">
        <v>138</v>
      </c>
      <c r="B78" s="10"/>
      <c r="C78" s="11" t="s">
        <v>30</v>
      </c>
      <c r="D78" s="12">
        <v>14</v>
      </c>
      <c r="E78" s="12">
        <v>19</v>
      </c>
      <c r="F78" s="12">
        <v>13</v>
      </c>
      <c r="G78" s="12">
        <v>5</v>
      </c>
      <c r="H78" s="12">
        <v>7</v>
      </c>
      <c r="I78" s="12">
        <v>12</v>
      </c>
      <c r="J78" s="12">
        <v>11</v>
      </c>
      <c r="K78" s="12">
        <v>20</v>
      </c>
      <c r="L78" s="12">
        <v>20</v>
      </c>
      <c r="M78" s="12">
        <v>26</v>
      </c>
      <c r="N78" s="12">
        <v>19</v>
      </c>
      <c r="O78" s="12">
        <v>8</v>
      </c>
      <c r="P78" s="10"/>
      <c r="Q78" s="10"/>
      <c r="R78" s="10"/>
      <c r="S78" s="14"/>
      <c r="T78" s="14"/>
    </row>
    <row r="79" spans="1:21" x14ac:dyDescent="0.25">
      <c r="A79" s="3" t="s">
        <v>139</v>
      </c>
      <c r="B79" s="4" t="s">
        <v>140</v>
      </c>
      <c r="C79" s="5" t="s">
        <v>28</v>
      </c>
      <c r="D79" s="6">
        <v>0</v>
      </c>
      <c r="E79" s="6">
        <v>0</v>
      </c>
      <c r="F79" s="6">
        <v>60</v>
      </c>
      <c r="G79" s="6">
        <v>0</v>
      </c>
      <c r="H79" s="6">
        <v>0</v>
      </c>
      <c r="I79" s="6">
        <v>30</v>
      </c>
      <c r="J79" s="6">
        <v>0</v>
      </c>
      <c r="K79" s="6">
        <v>0</v>
      </c>
      <c r="L79" s="6">
        <v>0</v>
      </c>
      <c r="M79" s="6">
        <v>30</v>
      </c>
      <c r="N79" s="6">
        <v>30</v>
      </c>
      <c r="O79" s="6">
        <v>0</v>
      </c>
      <c r="P79" s="7">
        <v>0</v>
      </c>
      <c r="Q79" s="7">
        <v>10</v>
      </c>
      <c r="R79" s="7">
        <v>10</v>
      </c>
      <c r="S79" s="13">
        <v>0</v>
      </c>
      <c r="T79" s="15">
        <v>2.4900000000000002</v>
      </c>
      <c r="U79" s="8">
        <f>IF(S79="",0,S79)*T79</f>
        <v>0</v>
      </c>
    </row>
    <row r="80" spans="1:21" x14ac:dyDescent="0.25">
      <c r="A80" s="9" t="s">
        <v>141</v>
      </c>
      <c r="B80" s="10"/>
      <c r="C80" s="11" t="s">
        <v>30</v>
      </c>
      <c r="D80" s="12">
        <v>29</v>
      </c>
      <c r="E80" s="12">
        <v>25</v>
      </c>
      <c r="F80" s="12">
        <v>30</v>
      </c>
      <c r="G80" s="12">
        <v>29</v>
      </c>
      <c r="H80" s="12">
        <v>19</v>
      </c>
      <c r="I80" s="12">
        <v>30</v>
      </c>
      <c r="J80" s="12">
        <v>16</v>
      </c>
      <c r="K80" s="12">
        <v>28</v>
      </c>
      <c r="L80" s="12">
        <v>0</v>
      </c>
      <c r="M80" s="12">
        <v>7</v>
      </c>
      <c r="N80" s="12">
        <v>20</v>
      </c>
      <c r="O80" s="12">
        <v>13</v>
      </c>
      <c r="P80" s="10"/>
      <c r="Q80" s="10"/>
      <c r="R80" s="10"/>
      <c r="S80" s="14"/>
      <c r="T80" s="14"/>
    </row>
    <row r="81" spans="1:21" x14ac:dyDescent="0.25">
      <c r="A81" s="3" t="s">
        <v>142</v>
      </c>
      <c r="B81" s="4" t="s">
        <v>143</v>
      </c>
      <c r="C81" s="5" t="s">
        <v>28</v>
      </c>
      <c r="D81" s="6">
        <v>4</v>
      </c>
      <c r="E81" s="6">
        <v>4</v>
      </c>
      <c r="F81" s="6">
        <v>8</v>
      </c>
      <c r="G81" s="6">
        <v>8</v>
      </c>
      <c r="H81" s="6">
        <v>0</v>
      </c>
      <c r="I81" s="6">
        <v>0</v>
      </c>
      <c r="J81" s="6">
        <v>0</v>
      </c>
      <c r="K81" s="6">
        <v>6</v>
      </c>
      <c r="L81" s="6">
        <v>0</v>
      </c>
      <c r="M81" s="6">
        <v>6</v>
      </c>
      <c r="N81" s="6">
        <v>0</v>
      </c>
      <c r="O81" s="6">
        <v>0</v>
      </c>
      <c r="P81" s="7">
        <v>0</v>
      </c>
      <c r="Q81" s="7">
        <v>6</v>
      </c>
      <c r="R81" s="7">
        <v>0</v>
      </c>
      <c r="S81" s="13">
        <v>0</v>
      </c>
      <c r="T81" s="15">
        <v>29.49</v>
      </c>
      <c r="U81" s="8">
        <f>IF(S81="",0,S81)*T81</f>
        <v>0</v>
      </c>
    </row>
    <row r="82" spans="1:21" x14ac:dyDescent="0.25">
      <c r="A82" s="9" t="s">
        <v>144</v>
      </c>
      <c r="B82" s="10"/>
      <c r="C82" s="11" t="s">
        <v>30</v>
      </c>
      <c r="D82" s="12">
        <v>3</v>
      </c>
      <c r="E82" s="12">
        <v>6</v>
      </c>
      <c r="F82" s="12">
        <v>4</v>
      </c>
      <c r="G82" s="12">
        <v>4</v>
      </c>
      <c r="H82" s="12">
        <v>3</v>
      </c>
      <c r="I82" s="12">
        <v>9</v>
      </c>
      <c r="J82" s="12">
        <v>2</v>
      </c>
      <c r="K82" s="12">
        <v>0</v>
      </c>
      <c r="L82" s="12">
        <v>1</v>
      </c>
      <c r="M82" s="12">
        <v>5</v>
      </c>
      <c r="N82" s="12">
        <v>1</v>
      </c>
      <c r="O82" s="12">
        <v>0</v>
      </c>
      <c r="P82" s="10"/>
      <c r="Q82" s="10"/>
      <c r="R82" s="10"/>
      <c r="S82" s="14"/>
      <c r="T82" s="14"/>
    </row>
    <row r="83" spans="1:21" x14ac:dyDescent="0.25">
      <c r="A83" s="3" t="s">
        <v>145</v>
      </c>
      <c r="B83" s="4" t="s">
        <v>146</v>
      </c>
      <c r="C83" s="5" t="s">
        <v>28</v>
      </c>
      <c r="D83" s="6">
        <v>4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7">
        <v>0</v>
      </c>
      <c r="Q83" s="7">
        <v>6</v>
      </c>
      <c r="R83" s="7">
        <v>0</v>
      </c>
      <c r="S83" s="13">
        <v>0</v>
      </c>
      <c r="T83" s="15">
        <v>24.18</v>
      </c>
      <c r="U83" s="8">
        <f>IF(S83="",0,S83)*T83</f>
        <v>0</v>
      </c>
    </row>
    <row r="84" spans="1:21" x14ac:dyDescent="0.25">
      <c r="A84" s="9" t="s">
        <v>147</v>
      </c>
      <c r="B84" s="10"/>
      <c r="C84" s="11" t="s">
        <v>30</v>
      </c>
      <c r="D84" s="12">
        <v>2</v>
      </c>
      <c r="E84" s="12">
        <v>2</v>
      </c>
      <c r="F84" s="12">
        <v>3</v>
      </c>
      <c r="G84" s="12">
        <v>2</v>
      </c>
      <c r="H84" s="12">
        <v>2</v>
      </c>
      <c r="I84" s="12">
        <v>3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0"/>
      <c r="Q84" s="10"/>
      <c r="R84" s="10"/>
      <c r="S84" s="14"/>
      <c r="T84" s="14"/>
    </row>
    <row r="85" spans="1:21" x14ac:dyDescent="0.25">
      <c r="A85" s="3" t="s">
        <v>148</v>
      </c>
      <c r="B85" s="4" t="s">
        <v>149</v>
      </c>
      <c r="C85" s="5" t="s">
        <v>28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6</v>
      </c>
      <c r="J85" s="6">
        <v>0</v>
      </c>
      <c r="K85" s="6">
        <v>0</v>
      </c>
      <c r="L85" s="6">
        <v>0</v>
      </c>
      <c r="M85" s="6">
        <v>6</v>
      </c>
      <c r="N85" s="6">
        <v>0</v>
      </c>
      <c r="O85" s="6">
        <v>0</v>
      </c>
      <c r="P85" s="7">
        <v>0</v>
      </c>
      <c r="Q85" s="7">
        <v>6</v>
      </c>
      <c r="R85" s="7">
        <v>0</v>
      </c>
      <c r="S85" s="13">
        <v>0</v>
      </c>
      <c r="T85" s="15">
        <v>25.42</v>
      </c>
      <c r="U85" s="8">
        <f>IF(S85="",0,S85)*T85</f>
        <v>0</v>
      </c>
    </row>
    <row r="86" spans="1:21" x14ac:dyDescent="0.25">
      <c r="A86" s="9" t="s">
        <v>150</v>
      </c>
      <c r="B86" s="10"/>
      <c r="C86" s="11" t="s">
        <v>30</v>
      </c>
      <c r="D86" s="12">
        <v>1</v>
      </c>
      <c r="E86" s="12">
        <v>1</v>
      </c>
      <c r="F86" s="12">
        <v>1</v>
      </c>
      <c r="G86" s="12">
        <v>2</v>
      </c>
      <c r="H86" s="12">
        <v>2</v>
      </c>
      <c r="I86" s="12">
        <v>4</v>
      </c>
      <c r="J86" s="12">
        <v>0</v>
      </c>
      <c r="K86" s="12">
        <v>2</v>
      </c>
      <c r="L86" s="12">
        <v>1</v>
      </c>
      <c r="M86" s="12">
        <v>0</v>
      </c>
      <c r="N86" s="12">
        <v>4</v>
      </c>
      <c r="O86" s="12">
        <v>0</v>
      </c>
      <c r="P86" s="10"/>
      <c r="Q86" s="10"/>
      <c r="R86" s="10"/>
      <c r="S86" s="14"/>
      <c r="T86" s="14"/>
    </row>
    <row r="87" spans="1:21" x14ac:dyDescent="0.25">
      <c r="A87" s="3" t="s">
        <v>151</v>
      </c>
      <c r="B87" s="4" t="s">
        <v>152</v>
      </c>
      <c r="C87" s="5" t="s">
        <v>28</v>
      </c>
      <c r="D87" s="6">
        <v>0</v>
      </c>
      <c r="E87" s="6">
        <v>32</v>
      </c>
      <c r="F87" s="6">
        <v>0</v>
      </c>
      <c r="G87" s="6">
        <v>0</v>
      </c>
      <c r="H87" s="6">
        <v>0</v>
      </c>
      <c r="I87" s="6">
        <v>32</v>
      </c>
      <c r="J87" s="6">
        <v>32</v>
      </c>
      <c r="K87" s="6">
        <v>32</v>
      </c>
      <c r="L87" s="6">
        <v>32</v>
      </c>
      <c r="M87" s="6">
        <v>0</v>
      </c>
      <c r="N87" s="6">
        <v>32</v>
      </c>
      <c r="O87" s="6">
        <v>0</v>
      </c>
      <c r="P87" s="7">
        <v>1</v>
      </c>
      <c r="Q87" s="7">
        <v>16</v>
      </c>
      <c r="R87" s="7">
        <v>16</v>
      </c>
      <c r="S87" s="13">
        <v>0</v>
      </c>
      <c r="T87" s="15">
        <v>1.78</v>
      </c>
      <c r="U87" s="8">
        <f>IF(S87="",0,S87)*T87</f>
        <v>0</v>
      </c>
    </row>
    <row r="88" spans="1:21" x14ac:dyDescent="0.25">
      <c r="A88" s="9" t="s">
        <v>153</v>
      </c>
      <c r="B88" s="10"/>
      <c r="C88" s="11" t="s">
        <v>30</v>
      </c>
      <c r="D88" s="12">
        <v>12</v>
      </c>
      <c r="E88" s="12">
        <v>12</v>
      </c>
      <c r="F88" s="12">
        <v>11</v>
      </c>
      <c r="G88" s="12">
        <v>11</v>
      </c>
      <c r="H88" s="12">
        <v>19</v>
      </c>
      <c r="I88" s="12">
        <v>17</v>
      </c>
      <c r="J88" s="12">
        <v>38</v>
      </c>
      <c r="K88" s="12">
        <v>19</v>
      </c>
      <c r="L88" s="12">
        <v>21</v>
      </c>
      <c r="M88" s="12">
        <v>7</v>
      </c>
      <c r="N88" s="12">
        <v>13</v>
      </c>
      <c r="O88" s="12">
        <v>11</v>
      </c>
      <c r="P88" s="10"/>
      <c r="Q88" s="10"/>
      <c r="R88" s="10"/>
      <c r="S88" s="14"/>
      <c r="T88" s="14"/>
    </row>
    <row r="89" spans="1:21" x14ac:dyDescent="0.25">
      <c r="A89" s="3" t="s">
        <v>154</v>
      </c>
      <c r="B89" s="4" t="s">
        <v>155</v>
      </c>
      <c r="C89" s="5" t="s">
        <v>28</v>
      </c>
      <c r="D89" s="6">
        <v>40</v>
      </c>
      <c r="E89" s="6">
        <v>40</v>
      </c>
      <c r="F89" s="6">
        <v>80</v>
      </c>
      <c r="G89" s="6">
        <v>40</v>
      </c>
      <c r="H89" s="6">
        <v>0</v>
      </c>
      <c r="I89" s="6">
        <v>40</v>
      </c>
      <c r="J89" s="6">
        <v>40</v>
      </c>
      <c r="K89" s="6">
        <v>40</v>
      </c>
      <c r="L89" s="6">
        <v>40</v>
      </c>
      <c r="M89" s="6">
        <v>40</v>
      </c>
      <c r="N89" s="6">
        <v>40</v>
      </c>
      <c r="O89" s="6">
        <v>40</v>
      </c>
      <c r="P89" s="7">
        <v>57</v>
      </c>
      <c r="Q89" s="7">
        <v>1</v>
      </c>
      <c r="R89" s="7">
        <v>33</v>
      </c>
      <c r="S89" s="13">
        <v>0</v>
      </c>
      <c r="T89" s="15">
        <v>1.61</v>
      </c>
      <c r="U89" s="8">
        <f>IF(S89="",0,S89)*T89</f>
        <v>0</v>
      </c>
    </row>
    <row r="90" spans="1:21" x14ac:dyDescent="0.25">
      <c r="A90" s="9" t="s">
        <v>156</v>
      </c>
      <c r="B90" s="10"/>
      <c r="C90" s="11" t="s">
        <v>30</v>
      </c>
      <c r="D90" s="12">
        <v>30</v>
      </c>
      <c r="E90" s="12">
        <v>47</v>
      </c>
      <c r="F90" s="12">
        <v>60</v>
      </c>
      <c r="G90" s="12">
        <v>33</v>
      </c>
      <c r="H90" s="12">
        <v>21</v>
      </c>
      <c r="I90" s="12">
        <v>31</v>
      </c>
      <c r="J90" s="12">
        <v>34</v>
      </c>
      <c r="K90" s="12">
        <v>34</v>
      </c>
      <c r="L90" s="12">
        <v>22</v>
      </c>
      <c r="M90" s="12">
        <v>43</v>
      </c>
      <c r="N90" s="12">
        <v>28</v>
      </c>
      <c r="O90" s="12">
        <v>40</v>
      </c>
      <c r="P90" s="10"/>
      <c r="Q90" s="10"/>
      <c r="R90" s="10"/>
      <c r="S90" s="14"/>
      <c r="T90" s="14"/>
    </row>
    <row r="91" spans="1:21" x14ac:dyDescent="0.25">
      <c r="A91" s="3" t="s">
        <v>157</v>
      </c>
      <c r="B91" s="4" t="s">
        <v>158</v>
      </c>
      <c r="C91" s="5" t="s">
        <v>28</v>
      </c>
      <c r="D91" s="6">
        <v>120</v>
      </c>
      <c r="E91" s="6">
        <v>60</v>
      </c>
      <c r="F91" s="6">
        <v>0</v>
      </c>
      <c r="G91" s="6">
        <v>60</v>
      </c>
      <c r="H91" s="6">
        <v>60</v>
      </c>
      <c r="I91" s="6">
        <v>120</v>
      </c>
      <c r="J91" s="6">
        <v>0</v>
      </c>
      <c r="K91" s="6">
        <v>0</v>
      </c>
      <c r="L91" s="6">
        <v>60</v>
      </c>
      <c r="M91" s="6">
        <v>120</v>
      </c>
      <c r="N91" s="6">
        <v>60</v>
      </c>
      <c r="O91" s="6">
        <v>60</v>
      </c>
      <c r="P91" s="7">
        <v>11</v>
      </c>
      <c r="Q91" s="7">
        <v>4</v>
      </c>
      <c r="R91" s="7">
        <v>52</v>
      </c>
      <c r="S91" s="13">
        <v>0</v>
      </c>
      <c r="T91" s="15">
        <v>1.62</v>
      </c>
      <c r="U91" s="8">
        <f>IF(S91="",0,S91)*T91</f>
        <v>0</v>
      </c>
    </row>
    <row r="92" spans="1:21" x14ac:dyDescent="0.25">
      <c r="A92" s="9" t="s">
        <v>159</v>
      </c>
      <c r="B92" s="10"/>
      <c r="C92" s="11" t="s">
        <v>30</v>
      </c>
      <c r="D92" s="12">
        <v>93</v>
      </c>
      <c r="E92" s="12">
        <v>59</v>
      </c>
      <c r="F92" s="12">
        <v>82</v>
      </c>
      <c r="G92" s="12">
        <v>45</v>
      </c>
      <c r="H92" s="12">
        <v>60</v>
      </c>
      <c r="I92" s="12">
        <v>51</v>
      </c>
      <c r="J92" s="12">
        <v>70</v>
      </c>
      <c r="K92" s="12">
        <v>43</v>
      </c>
      <c r="L92" s="12">
        <v>45</v>
      </c>
      <c r="M92" s="12">
        <v>61</v>
      </c>
      <c r="N92" s="12">
        <v>52</v>
      </c>
      <c r="O92" s="12">
        <v>48</v>
      </c>
      <c r="P92" s="10"/>
      <c r="Q92" s="10"/>
      <c r="R92" s="10"/>
      <c r="S92" s="14"/>
      <c r="T92" s="14"/>
    </row>
    <row r="93" spans="1:21" x14ac:dyDescent="0.25">
      <c r="A93" s="3" t="s">
        <v>160</v>
      </c>
      <c r="B93" s="4" t="s">
        <v>161</v>
      </c>
      <c r="C93" s="5" t="s">
        <v>28</v>
      </c>
      <c r="D93" s="6">
        <v>27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7">
        <v>0</v>
      </c>
      <c r="Q93" s="7">
        <v>1</v>
      </c>
      <c r="R93" s="7">
        <v>2</v>
      </c>
      <c r="S93" s="13">
        <v>0</v>
      </c>
      <c r="T93" s="15">
        <v>7.69</v>
      </c>
      <c r="U93" s="8">
        <f>IF(S93="",0,S93)*T93</f>
        <v>0</v>
      </c>
    </row>
    <row r="94" spans="1:21" x14ac:dyDescent="0.25">
      <c r="A94" s="9" t="s">
        <v>162</v>
      </c>
      <c r="B94" s="10"/>
      <c r="C94" s="11" t="s">
        <v>30</v>
      </c>
      <c r="D94" s="12">
        <v>3</v>
      </c>
      <c r="E94" s="12">
        <v>0</v>
      </c>
      <c r="F94" s="12">
        <v>4</v>
      </c>
      <c r="G94" s="12">
        <v>4</v>
      </c>
      <c r="H94" s="12">
        <v>4</v>
      </c>
      <c r="I94" s="12">
        <v>2</v>
      </c>
      <c r="J94" s="12">
        <v>2</v>
      </c>
      <c r="K94" s="12">
        <v>4</v>
      </c>
      <c r="L94" s="12">
        <v>2</v>
      </c>
      <c r="M94" s="12">
        <v>3</v>
      </c>
      <c r="N94" s="12">
        <v>0</v>
      </c>
      <c r="O94" s="12">
        <v>4</v>
      </c>
      <c r="P94" s="10"/>
      <c r="Q94" s="10"/>
      <c r="R94" s="10"/>
      <c r="S94" s="14"/>
      <c r="T94" s="14"/>
    </row>
    <row r="95" spans="1:21" x14ac:dyDescent="0.25">
      <c r="A95" s="3" t="s">
        <v>163</v>
      </c>
      <c r="B95" s="4" t="s">
        <v>164</v>
      </c>
      <c r="C95" s="5" t="s">
        <v>28</v>
      </c>
      <c r="D95" s="6">
        <v>0</v>
      </c>
      <c r="E95" s="6">
        <v>40</v>
      </c>
      <c r="F95" s="6">
        <v>0</v>
      </c>
      <c r="G95" s="6">
        <v>20</v>
      </c>
      <c r="H95" s="6">
        <v>20</v>
      </c>
      <c r="I95" s="6">
        <v>0</v>
      </c>
      <c r="J95" s="6">
        <v>0</v>
      </c>
      <c r="K95" s="6">
        <v>0</v>
      </c>
      <c r="L95" s="6">
        <v>20</v>
      </c>
      <c r="M95" s="6">
        <v>20</v>
      </c>
      <c r="N95" s="6">
        <v>0</v>
      </c>
      <c r="O95" s="6">
        <v>0</v>
      </c>
      <c r="P95" s="7">
        <v>0</v>
      </c>
      <c r="Q95" s="7">
        <v>10</v>
      </c>
      <c r="R95" s="7">
        <v>0</v>
      </c>
      <c r="S95" s="13">
        <v>0</v>
      </c>
      <c r="T95" s="15">
        <v>4.9400000000000004</v>
      </c>
      <c r="U95" s="8">
        <f>IF(S95="",0,S95)*T95</f>
        <v>0</v>
      </c>
    </row>
    <row r="96" spans="1:21" x14ac:dyDescent="0.25">
      <c r="A96" s="9" t="s">
        <v>165</v>
      </c>
      <c r="B96" s="10"/>
      <c r="C96" s="11" t="s">
        <v>30</v>
      </c>
      <c r="D96" s="12">
        <v>10</v>
      </c>
      <c r="E96" s="12">
        <v>23</v>
      </c>
      <c r="F96" s="12">
        <v>15</v>
      </c>
      <c r="G96" s="12">
        <v>32</v>
      </c>
      <c r="H96" s="12">
        <v>8</v>
      </c>
      <c r="I96" s="12">
        <v>5</v>
      </c>
      <c r="J96" s="12">
        <v>1</v>
      </c>
      <c r="K96" s="12">
        <v>4</v>
      </c>
      <c r="L96" s="12">
        <v>7</v>
      </c>
      <c r="M96" s="12">
        <v>10</v>
      </c>
      <c r="N96" s="12">
        <v>6</v>
      </c>
      <c r="O96" s="12">
        <v>2</v>
      </c>
      <c r="P96" s="10"/>
      <c r="Q96" s="10"/>
      <c r="R96" s="10"/>
      <c r="S96" s="14"/>
      <c r="T96" s="14"/>
    </row>
    <row r="97" spans="1:21" x14ac:dyDescent="0.25">
      <c r="A97" s="3" t="s">
        <v>166</v>
      </c>
      <c r="B97" s="4" t="s">
        <v>167</v>
      </c>
      <c r="C97" s="5" t="s">
        <v>28</v>
      </c>
      <c r="D97" s="6">
        <v>0</v>
      </c>
      <c r="E97" s="6">
        <v>0</v>
      </c>
      <c r="F97" s="6">
        <v>0</v>
      </c>
      <c r="G97" s="6">
        <v>0</v>
      </c>
      <c r="H97" s="6">
        <v>20</v>
      </c>
      <c r="I97" s="6">
        <v>20</v>
      </c>
      <c r="J97" s="6">
        <v>20</v>
      </c>
      <c r="K97" s="6">
        <v>0</v>
      </c>
      <c r="L97" s="6">
        <v>0</v>
      </c>
      <c r="M97" s="6">
        <v>20</v>
      </c>
      <c r="N97" s="6">
        <v>0</v>
      </c>
      <c r="O97" s="6">
        <v>0</v>
      </c>
      <c r="P97" s="7">
        <v>11</v>
      </c>
      <c r="Q97" s="7">
        <v>10</v>
      </c>
      <c r="R97" s="7">
        <v>0</v>
      </c>
      <c r="S97" s="13">
        <v>0</v>
      </c>
      <c r="T97" s="15">
        <v>2.19</v>
      </c>
      <c r="U97" s="8">
        <f>IF(S97="",0,S97)*T97</f>
        <v>0</v>
      </c>
    </row>
    <row r="98" spans="1:21" x14ac:dyDescent="0.25">
      <c r="A98" s="9" t="s">
        <v>168</v>
      </c>
      <c r="B98" s="10"/>
      <c r="C98" s="11" t="s">
        <v>30</v>
      </c>
      <c r="D98" s="12">
        <v>0</v>
      </c>
      <c r="E98" s="12">
        <v>0</v>
      </c>
      <c r="F98" s="12">
        <v>0</v>
      </c>
      <c r="G98" s="12">
        <v>0</v>
      </c>
      <c r="H98" s="12">
        <v>13</v>
      </c>
      <c r="I98" s="12">
        <v>13</v>
      </c>
      <c r="J98" s="12">
        <v>7</v>
      </c>
      <c r="K98" s="12">
        <v>5</v>
      </c>
      <c r="L98" s="12">
        <v>11</v>
      </c>
      <c r="M98" s="12">
        <v>8</v>
      </c>
      <c r="N98" s="12">
        <v>10</v>
      </c>
      <c r="O98" s="12">
        <v>2</v>
      </c>
      <c r="P98" s="10"/>
      <c r="Q98" s="10"/>
      <c r="R98" s="10"/>
      <c r="S98" s="14"/>
      <c r="T98" s="14"/>
    </row>
    <row r="99" spans="1:21" x14ac:dyDescent="0.25">
      <c r="A99" s="3" t="s">
        <v>169</v>
      </c>
      <c r="B99" s="4" t="s">
        <v>170</v>
      </c>
      <c r="C99" s="5" t="s">
        <v>28</v>
      </c>
      <c r="D99" s="6">
        <v>0</v>
      </c>
      <c r="E99" s="6">
        <v>80</v>
      </c>
      <c r="F99" s="6">
        <v>0</v>
      </c>
      <c r="G99" s="6">
        <v>40</v>
      </c>
      <c r="H99" s="6">
        <v>0</v>
      </c>
      <c r="I99" s="6">
        <v>0</v>
      </c>
      <c r="J99" s="6">
        <v>40</v>
      </c>
      <c r="K99" s="6">
        <v>0</v>
      </c>
      <c r="L99" s="6">
        <v>20</v>
      </c>
      <c r="M99" s="6">
        <v>20</v>
      </c>
      <c r="N99" s="6">
        <v>20</v>
      </c>
      <c r="O99" s="6">
        <v>0</v>
      </c>
      <c r="P99" s="7">
        <v>0</v>
      </c>
      <c r="Q99" s="7">
        <v>10</v>
      </c>
      <c r="R99" s="7">
        <v>10</v>
      </c>
      <c r="S99" s="13">
        <v>0</v>
      </c>
      <c r="T99" s="15">
        <v>2.72</v>
      </c>
      <c r="U99" s="8">
        <f>IF(S99="",0,S99)*T99</f>
        <v>0</v>
      </c>
    </row>
    <row r="100" spans="1:21" x14ac:dyDescent="0.25">
      <c r="A100" s="9" t="s">
        <v>171</v>
      </c>
      <c r="B100" s="10"/>
      <c r="C100" s="11" t="s">
        <v>30</v>
      </c>
      <c r="D100" s="12">
        <v>20</v>
      </c>
      <c r="E100" s="12">
        <v>11</v>
      </c>
      <c r="F100" s="12">
        <v>47</v>
      </c>
      <c r="G100" s="12">
        <v>29</v>
      </c>
      <c r="H100" s="12">
        <v>27</v>
      </c>
      <c r="I100" s="12">
        <v>18</v>
      </c>
      <c r="J100" s="12">
        <v>25</v>
      </c>
      <c r="K100" s="12">
        <v>23</v>
      </c>
      <c r="L100" s="12">
        <v>7</v>
      </c>
      <c r="M100" s="12">
        <v>16</v>
      </c>
      <c r="N100" s="12">
        <v>12</v>
      </c>
      <c r="O100" s="12">
        <v>8</v>
      </c>
      <c r="P100" s="10"/>
      <c r="Q100" s="10"/>
      <c r="R100" s="10"/>
      <c r="S100" s="14"/>
      <c r="T100" s="14"/>
    </row>
    <row r="101" spans="1:21" x14ac:dyDescent="0.25">
      <c r="A101" s="3" t="s">
        <v>172</v>
      </c>
      <c r="B101" s="4" t="s">
        <v>173</v>
      </c>
      <c r="C101" s="5" t="s">
        <v>28</v>
      </c>
      <c r="D101" s="6">
        <v>40</v>
      </c>
      <c r="E101" s="6">
        <v>20</v>
      </c>
      <c r="F101" s="6">
        <v>60</v>
      </c>
      <c r="G101" s="6">
        <v>40</v>
      </c>
      <c r="H101" s="6">
        <v>60</v>
      </c>
      <c r="I101" s="6">
        <v>40</v>
      </c>
      <c r="J101" s="6">
        <v>60</v>
      </c>
      <c r="K101" s="6">
        <v>80</v>
      </c>
      <c r="L101" s="6">
        <v>0</v>
      </c>
      <c r="M101" s="6">
        <v>0</v>
      </c>
      <c r="N101" s="6">
        <v>20</v>
      </c>
      <c r="O101" s="6">
        <v>0</v>
      </c>
      <c r="P101" s="7">
        <v>18</v>
      </c>
      <c r="Q101" s="7">
        <v>10</v>
      </c>
      <c r="R101" s="7">
        <v>20</v>
      </c>
      <c r="S101" s="13">
        <v>0</v>
      </c>
      <c r="T101" s="15">
        <v>2.59</v>
      </c>
      <c r="U101" s="8">
        <f>IF(S101="",0,S101)*T101</f>
        <v>0</v>
      </c>
    </row>
    <row r="102" spans="1:21" x14ac:dyDescent="0.25">
      <c r="A102" s="9" t="s">
        <v>174</v>
      </c>
      <c r="B102" s="10"/>
      <c r="C102" s="11" t="s">
        <v>30</v>
      </c>
      <c r="D102" s="12">
        <v>23</v>
      </c>
      <c r="E102" s="12">
        <v>36</v>
      </c>
      <c r="F102" s="12">
        <v>40</v>
      </c>
      <c r="G102" s="12">
        <v>48</v>
      </c>
      <c r="H102" s="12">
        <v>64</v>
      </c>
      <c r="I102" s="12">
        <v>35</v>
      </c>
      <c r="J102" s="12">
        <v>41</v>
      </c>
      <c r="K102" s="12">
        <v>30</v>
      </c>
      <c r="L102" s="12">
        <v>20</v>
      </c>
      <c r="M102" s="12">
        <v>18</v>
      </c>
      <c r="N102" s="12">
        <v>30</v>
      </c>
      <c r="O102" s="12">
        <v>17</v>
      </c>
      <c r="P102" s="10"/>
      <c r="Q102" s="10"/>
      <c r="R102" s="10"/>
      <c r="S102" s="14"/>
      <c r="T102" s="14"/>
    </row>
    <row r="103" spans="1:21" x14ac:dyDescent="0.25">
      <c r="A103" s="3" t="s">
        <v>175</v>
      </c>
      <c r="B103" s="4" t="s">
        <v>176</v>
      </c>
      <c r="C103" s="5" t="s">
        <v>28</v>
      </c>
      <c r="D103" s="6">
        <v>0</v>
      </c>
      <c r="E103" s="6">
        <v>12</v>
      </c>
      <c r="F103" s="6">
        <v>0</v>
      </c>
      <c r="G103" s="6">
        <v>12</v>
      </c>
      <c r="H103" s="6">
        <v>12</v>
      </c>
      <c r="I103" s="6">
        <v>0</v>
      </c>
      <c r="J103" s="6">
        <v>12</v>
      </c>
      <c r="K103" s="6">
        <v>0</v>
      </c>
      <c r="L103" s="6">
        <v>12</v>
      </c>
      <c r="M103" s="6">
        <v>12</v>
      </c>
      <c r="N103" s="6">
        <v>12</v>
      </c>
      <c r="O103" s="6">
        <v>0</v>
      </c>
      <c r="P103" s="7">
        <v>10</v>
      </c>
      <c r="Q103" s="7">
        <v>12</v>
      </c>
      <c r="R103" s="7">
        <v>0</v>
      </c>
      <c r="S103" s="13">
        <v>0</v>
      </c>
      <c r="T103" s="15">
        <v>7.65</v>
      </c>
      <c r="U103" s="8">
        <f>IF(S103="",0,S103)*T103</f>
        <v>0</v>
      </c>
    </row>
    <row r="104" spans="1:21" x14ac:dyDescent="0.25">
      <c r="A104" s="9" t="s">
        <v>177</v>
      </c>
      <c r="B104" s="10"/>
      <c r="C104" s="11" t="s">
        <v>30</v>
      </c>
      <c r="D104" s="12">
        <v>3</v>
      </c>
      <c r="E104" s="12">
        <v>6</v>
      </c>
      <c r="F104" s="12">
        <v>6</v>
      </c>
      <c r="G104" s="12">
        <v>6</v>
      </c>
      <c r="H104" s="12">
        <v>5</v>
      </c>
      <c r="I104" s="12">
        <v>7</v>
      </c>
      <c r="J104" s="12">
        <v>6</v>
      </c>
      <c r="K104" s="12">
        <v>8</v>
      </c>
      <c r="L104" s="12">
        <v>9</v>
      </c>
      <c r="M104" s="12">
        <v>9</v>
      </c>
      <c r="N104" s="12">
        <v>6</v>
      </c>
      <c r="O104" s="12">
        <v>3</v>
      </c>
      <c r="P104" s="10"/>
      <c r="Q104" s="10"/>
      <c r="R104" s="10"/>
      <c r="S104" s="14"/>
      <c r="T104" s="14"/>
    </row>
    <row r="105" spans="1:21" x14ac:dyDescent="0.25">
      <c r="A105" s="3" t="s">
        <v>178</v>
      </c>
      <c r="B105" s="4" t="s">
        <v>179</v>
      </c>
      <c r="C105" s="5" t="s">
        <v>28</v>
      </c>
      <c r="D105" s="6">
        <v>0</v>
      </c>
      <c r="E105" s="6">
        <v>0</v>
      </c>
      <c r="F105" s="6">
        <v>0</v>
      </c>
      <c r="G105" s="6">
        <v>12</v>
      </c>
      <c r="H105" s="6">
        <v>12</v>
      </c>
      <c r="I105" s="6">
        <v>0</v>
      </c>
      <c r="J105" s="6">
        <v>0</v>
      </c>
      <c r="K105" s="6">
        <v>12</v>
      </c>
      <c r="L105" s="6">
        <v>0</v>
      </c>
      <c r="M105" s="6">
        <v>0</v>
      </c>
      <c r="N105" s="6">
        <v>0</v>
      </c>
      <c r="O105" s="6">
        <v>0</v>
      </c>
      <c r="P105" s="7">
        <v>0</v>
      </c>
      <c r="Q105" s="7">
        <v>12</v>
      </c>
      <c r="R105" s="7">
        <v>0</v>
      </c>
      <c r="S105" s="13">
        <v>0</v>
      </c>
      <c r="T105" s="15">
        <v>10.93</v>
      </c>
      <c r="U105" s="8">
        <f>IF(S105="",0,S105)*T105</f>
        <v>0</v>
      </c>
    </row>
    <row r="106" spans="1:21" x14ac:dyDescent="0.25">
      <c r="A106" s="9" t="s">
        <v>180</v>
      </c>
      <c r="B106" s="10"/>
      <c r="C106" s="11" t="s">
        <v>30</v>
      </c>
      <c r="D106" s="12">
        <v>3</v>
      </c>
      <c r="E106" s="12">
        <v>8</v>
      </c>
      <c r="F106" s="12">
        <v>8</v>
      </c>
      <c r="G106" s="12">
        <v>8</v>
      </c>
      <c r="H106" s="12">
        <v>4</v>
      </c>
      <c r="I106" s="12">
        <v>0</v>
      </c>
      <c r="J106" s="12">
        <v>0</v>
      </c>
      <c r="K106" s="12">
        <v>9</v>
      </c>
      <c r="L106" s="12">
        <v>0</v>
      </c>
      <c r="M106" s="12">
        <v>0</v>
      </c>
      <c r="N106" s="12">
        <v>2</v>
      </c>
      <c r="O106" s="12">
        <v>2</v>
      </c>
      <c r="P106" s="10"/>
      <c r="Q106" s="10"/>
      <c r="R106" s="10"/>
      <c r="S106" s="14"/>
      <c r="T106" s="14"/>
    </row>
    <row r="107" spans="1:21" x14ac:dyDescent="0.25">
      <c r="A107" s="3" t="s">
        <v>181</v>
      </c>
      <c r="B107" s="4" t="s">
        <v>182</v>
      </c>
      <c r="C107" s="5" t="s">
        <v>28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12</v>
      </c>
      <c r="N107" s="6">
        <v>0</v>
      </c>
      <c r="O107" s="6">
        <v>0</v>
      </c>
      <c r="P107" s="7">
        <v>0</v>
      </c>
      <c r="Q107" s="7">
        <v>25</v>
      </c>
      <c r="R107" s="7">
        <v>0</v>
      </c>
      <c r="S107" s="13">
        <v>0</v>
      </c>
      <c r="T107" s="15">
        <v>4.4000000000000004</v>
      </c>
      <c r="U107" s="8">
        <f>IF(S107="",0,S107)*T107</f>
        <v>0</v>
      </c>
    </row>
    <row r="108" spans="1:21" x14ac:dyDescent="0.25">
      <c r="A108" s="9" t="s">
        <v>183</v>
      </c>
      <c r="B108" s="10"/>
      <c r="C108" s="11" t="s">
        <v>30</v>
      </c>
      <c r="D108" s="12">
        <v>1</v>
      </c>
      <c r="E108" s="12">
        <v>4</v>
      </c>
      <c r="F108" s="12">
        <v>6</v>
      </c>
      <c r="G108" s="12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12</v>
      </c>
      <c r="N108" s="12">
        <v>0</v>
      </c>
      <c r="O108" s="12">
        <v>0</v>
      </c>
      <c r="P108" s="10"/>
      <c r="Q108" s="10"/>
      <c r="R108" s="10"/>
      <c r="S108" s="14"/>
      <c r="T108" s="14"/>
    </row>
    <row r="109" spans="1:21" x14ac:dyDescent="0.25">
      <c r="A109" s="3" t="s">
        <v>184</v>
      </c>
      <c r="B109" s="4" t="s">
        <v>185</v>
      </c>
      <c r="C109" s="5" t="s">
        <v>28</v>
      </c>
      <c r="D109" s="6">
        <v>100</v>
      </c>
      <c r="E109" s="6">
        <v>100</v>
      </c>
      <c r="F109" s="6">
        <v>150</v>
      </c>
      <c r="G109" s="6">
        <v>100</v>
      </c>
      <c r="H109" s="6">
        <v>0</v>
      </c>
      <c r="I109" s="6">
        <v>100</v>
      </c>
      <c r="J109" s="6">
        <v>0</v>
      </c>
      <c r="K109" s="6">
        <v>100</v>
      </c>
      <c r="L109" s="6">
        <v>0</v>
      </c>
      <c r="M109" s="6">
        <v>100</v>
      </c>
      <c r="N109" s="6">
        <v>100</v>
      </c>
      <c r="O109" s="6">
        <v>0</v>
      </c>
      <c r="P109" s="7">
        <v>50</v>
      </c>
      <c r="Q109" s="7">
        <v>96</v>
      </c>
      <c r="R109" s="7">
        <v>0</v>
      </c>
      <c r="S109" s="13">
        <v>0</v>
      </c>
      <c r="T109" s="15">
        <v>0.56000000000000005</v>
      </c>
      <c r="U109" s="8">
        <f>IF(S109="",0,S109)*T109</f>
        <v>0</v>
      </c>
    </row>
    <row r="110" spans="1:21" x14ac:dyDescent="0.25">
      <c r="A110" s="9" t="s">
        <v>186</v>
      </c>
      <c r="B110" s="10"/>
      <c r="C110" s="11" t="s">
        <v>30</v>
      </c>
      <c r="D110" s="12">
        <v>75</v>
      </c>
      <c r="E110" s="12">
        <v>66</v>
      </c>
      <c r="F110" s="12">
        <v>124</v>
      </c>
      <c r="G110" s="12">
        <v>74</v>
      </c>
      <c r="H110" s="12">
        <v>49</v>
      </c>
      <c r="I110" s="12">
        <v>73</v>
      </c>
      <c r="J110" s="12">
        <v>38</v>
      </c>
      <c r="K110" s="12">
        <v>70</v>
      </c>
      <c r="L110" s="12">
        <v>45</v>
      </c>
      <c r="M110" s="12">
        <v>74</v>
      </c>
      <c r="N110" s="12">
        <v>74</v>
      </c>
      <c r="O110" s="12">
        <v>38</v>
      </c>
      <c r="P110" s="10"/>
      <c r="Q110" s="10"/>
      <c r="R110" s="10"/>
      <c r="S110" s="14"/>
      <c r="T110" s="14"/>
    </row>
    <row r="111" spans="1:21" x14ac:dyDescent="0.25">
      <c r="A111" s="3" t="s">
        <v>187</v>
      </c>
      <c r="B111" s="4" t="s">
        <v>188</v>
      </c>
      <c r="C111" s="5" t="s">
        <v>28</v>
      </c>
      <c r="D111" s="6">
        <v>0</v>
      </c>
      <c r="E111" s="6">
        <v>0</v>
      </c>
      <c r="F111" s="6">
        <v>0</v>
      </c>
      <c r="G111" s="6">
        <v>12</v>
      </c>
      <c r="H111" s="6">
        <v>0</v>
      </c>
      <c r="I111" s="6">
        <v>0</v>
      </c>
      <c r="J111" s="6">
        <v>6</v>
      </c>
      <c r="K111" s="6">
        <v>0</v>
      </c>
      <c r="L111" s="6">
        <v>6</v>
      </c>
      <c r="M111" s="6">
        <v>6</v>
      </c>
      <c r="N111" s="6">
        <v>0</v>
      </c>
      <c r="O111" s="6">
        <v>12</v>
      </c>
      <c r="P111" s="7">
        <v>0</v>
      </c>
      <c r="Q111" s="7">
        <v>1</v>
      </c>
      <c r="R111" s="7">
        <v>5</v>
      </c>
      <c r="S111" s="13">
        <v>0</v>
      </c>
      <c r="T111" s="15">
        <v>37.49</v>
      </c>
      <c r="U111" s="8">
        <f>IF(S111="",0,S111)*T111</f>
        <v>0</v>
      </c>
    </row>
    <row r="112" spans="1:21" x14ac:dyDescent="0.25">
      <c r="A112" s="9" t="s">
        <v>189</v>
      </c>
      <c r="B112" s="10"/>
      <c r="C112" s="11" t="s">
        <v>30</v>
      </c>
      <c r="D112" s="12">
        <v>1</v>
      </c>
      <c r="E112" s="12">
        <v>0</v>
      </c>
      <c r="F112" s="12">
        <v>5</v>
      </c>
      <c r="G112" s="12">
        <v>1</v>
      </c>
      <c r="H112" s="12">
        <v>2</v>
      </c>
      <c r="I112" s="12">
        <v>6</v>
      </c>
      <c r="J112" s="12">
        <v>6</v>
      </c>
      <c r="K112" s="12">
        <v>3</v>
      </c>
      <c r="L112" s="12">
        <v>5</v>
      </c>
      <c r="M112" s="12">
        <v>1</v>
      </c>
      <c r="N112" s="12">
        <v>4</v>
      </c>
      <c r="O112" s="12">
        <v>13</v>
      </c>
      <c r="P112" s="10"/>
      <c r="Q112" s="10"/>
      <c r="R112" s="10"/>
      <c r="S112" s="14"/>
      <c r="T112" s="14"/>
    </row>
    <row r="113" spans="1:21" x14ac:dyDescent="0.25">
      <c r="A113" s="3" t="s">
        <v>190</v>
      </c>
      <c r="B113" s="4" t="s">
        <v>191</v>
      </c>
      <c r="C113" s="5" t="s">
        <v>28</v>
      </c>
      <c r="D113" s="6">
        <v>25</v>
      </c>
      <c r="E113" s="6">
        <v>25</v>
      </c>
      <c r="F113" s="6">
        <v>25</v>
      </c>
      <c r="G113" s="6">
        <v>25</v>
      </c>
      <c r="H113" s="6">
        <v>25</v>
      </c>
      <c r="I113" s="6">
        <v>0</v>
      </c>
      <c r="J113" s="6">
        <v>0</v>
      </c>
      <c r="K113" s="6">
        <v>0</v>
      </c>
      <c r="L113" s="6">
        <v>24</v>
      </c>
      <c r="M113" s="6">
        <v>25</v>
      </c>
      <c r="N113" s="6">
        <v>0</v>
      </c>
      <c r="O113" s="6">
        <v>0</v>
      </c>
      <c r="P113" s="7">
        <v>11</v>
      </c>
      <c r="Q113" s="7">
        <v>25</v>
      </c>
      <c r="R113" s="7">
        <v>0</v>
      </c>
      <c r="S113" s="13">
        <v>0</v>
      </c>
      <c r="T113" s="15">
        <v>3.02</v>
      </c>
      <c r="U113" s="8">
        <f>IF(S113="",0,S113)*T113</f>
        <v>0</v>
      </c>
    </row>
    <row r="114" spans="1:21" x14ac:dyDescent="0.25">
      <c r="A114" s="9" t="s">
        <v>192</v>
      </c>
      <c r="B114" s="10"/>
      <c r="C114" s="11" t="s">
        <v>30</v>
      </c>
      <c r="D114" s="12">
        <v>38</v>
      </c>
      <c r="E114" s="12">
        <v>16</v>
      </c>
      <c r="F114" s="12">
        <v>26</v>
      </c>
      <c r="G114" s="12">
        <v>10</v>
      </c>
      <c r="H114" s="12">
        <v>8</v>
      </c>
      <c r="I114" s="12">
        <v>8</v>
      </c>
      <c r="J114" s="12">
        <v>8</v>
      </c>
      <c r="K114" s="12">
        <v>18</v>
      </c>
      <c r="L114" s="12">
        <v>6</v>
      </c>
      <c r="M114" s="12">
        <v>10</v>
      </c>
      <c r="N114" s="12">
        <v>11</v>
      </c>
      <c r="O114" s="12">
        <v>4</v>
      </c>
      <c r="P114" s="10"/>
      <c r="Q114" s="10"/>
      <c r="R114" s="10"/>
      <c r="S114" s="14"/>
      <c r="T114" s="14"/>
    </row>
    <row r="115" spans="1:21" x14ac:dyDescent="0.25">
      <c r="A115" s="3" t="s">
        <v>193</v>
      </c>
      <c r="B115" s="4" t="s">
        <v>194</v>
      </c>
      <c r="C115" s="5" t="s">
        <v>28</v>
      </c>
      <c r="D115" s="6">
        <v>0</v>
      </c>
      <c r="E115" s="6">
        <v>0</v>
      </c>
      <c r="F115" s="6">
        <v>24</v>
      </c>
      <c r="G115" s="6">
        <v>0</v>
      </c>
      <c r="H115" s="6">
        <v>0</v>
      </c>
      <c r="I115" s="6">
        <v>0</v>
      </c>
      <c r="J115" s="6">
        <v>24</v>
      </c>
      <c r="K115" s="6">
        <v>0</v>
      </c>
      <c r="L115" s="6">
        <v>0</v>
      </c>
      <c r="M115" s="6">
        <v>0</v>
      </c>
      <c r="N115" s="6">
        <v>24</v>
      </c>
      <c r="O115" s="6">
        <v>0</v>
      </c>
      <c r="P115" s="7">
        <v>7</v>
      </c>
      <c r="Q115" s="7">
        <v>25</v>
      </c>
      <c r="R115" s="7">
        <v>0</v>
      </c>
      <c r="S115" s="13">
        <v>0</v>
      </c>
      <c r="T115" s="15">
        <v>3.99</v>
      </c>
      <c r="U115" s="8">
        <f>IF(S115="",0,S115)*T115</f>
        <v>0</v>
      </c>
    </row>
    <row r="116" spans="1:21" x14ac:dyDescent="0.25">
      <c r="A116" s="9" t="s">
        <v>195</v>
      </c>
      <c r="B116" s="10"/>
      <c r="C116" s="11" t="s">
        <v>30</v>
      </c>
      <c r="D116" s="12">
        <v>2</v>
      </c>
      <c r="E116" s="12">
        <v>4</v>
      </c>
      <c r="F116" s="12">
        <v>12</v>
      </c>
      <c r="G116" s="12">
        <v>4</v>
      </c>
      <c r="H116" s="12">
        <v>5</v>
      </c>
      <c r="I116" s="12">
        <v>2</v>
      </c>
      <c r="J116" s="12">
        <v>4</v>
      </c>
      <c r="K116" s="12">
        <v>6</v>
      </c>
      <c r="L116" s="12">
        <v>1</v>
      </c>
      <c r="M116" s="12">
        <v>8</v>
      </c>
      <c r="N116" s="12">
        <v>16</v>
      </c>
      <c r="O116" s="12">
        <v>1</v>
      </c>
      <c r="P116" s="10"/>
      <c r="Q116" s="10"/>
      <c r="R116" s="10"/>
      <c r="S116" s="14"/>
      <c r="T116" s="14"/>
    </row>
    <row r="117" spans="1:21" x14ac:dyDescent="0.25">
      <c r="A117" s="3" t="s">
        <v>196</v>
      </c>
      <c r="B117" s="4" t="s">
        <v>197</v>
      </c>
      <c r="C117" s="5" t="s">
        <v>28</v>
      </c>
      <c r="D117" s="6">
        <v>0</v>
      </c>
      <c r="E117" s="6">
        <v>0</v>
      </c>
      <c r="F117" s="6">
        <v>0</v>
      </c>
      <c r="G117" s="6">
        <v>360</v>
      </c>
      <c r="H117" s="6">
        <v>60</v>
      </c>
      <c r="I117" s="6">
        <v>120</v>
      </c>
      <c r="J117" s="6">
        <v>120</v>
      </c>
      <c r="K117" s="6">
        <v>360</v>
      </c>
      <c r="L117" s="6">
        <v>60</v>
      </c>
      <c r="M117" s="6">
        <v>0</v>
      </c>
      <c r="N117" s="6">
        <v>0</v>
      </c>
      <c r="O117" s="6">
        <v>0</v>
      </c>
      <c r="P117" s="7">
        <v>6</v>
      </c>
      <c r="Q117" s="7">
        <v>12</v>
      </c>
      <c r="R117" s="7">
        <v>96</v>
      </c>
      <c r="S117" s="13">
        <v>0</v>
      </c>
      <c r="T117" s="15">
        <v>2.64</v>
      </c>
      <c r="U117" s="8">
        <f>IF(S117="",0,S117)*T117</f>
        <v>0</v>
      </c>
    </row>
    <row r="118" spans="1:21" x14ac:dyDescent="0.25">
      <c r="A118" s="9" t="s">
        <v>198</v>
      </c>
      <c r="B118" s="10"/>
      <c r="C118" s="11" t="s">
        <v>30</v>
      </c>
      <c r="D118" s="12">
        <v>0</v>
      </c>
      <c r="E118" s="12">
        <v>0</v>
      </c>
      <c r="F118" s="12">
        <v>0</v>
      </c>
      <c r="G118" s="12">
        <v>116</v>
      </c>
      <c r="H118" s="12">
        <v>243</v>
      </c>
      <c r="I118" s="12">
        <v>127</v>
      </c>
      <c r="J118" s="12">
        <v>84</v>
      </c>
      <c r="K118" s="12">
        <v>156</v>
      </c>
      <c r="L118" s="12">
        <v>299</v>
      </c>
      <c r="M118" s="12">
        <v>49</v>
      </c>
      <c r="N118" s="12">
        <v>0</v>
      </c>
      <c r="O118" s="12">
        <v>0</v>
      </c>
      <c r="P118" s="10"/>
      <c r="Q118" s="10"/>
      <c r="R118" s="10"/>
      <c r="S118" s="14"/>
      <c r="T118" s="14"/>
    </row>
    <row r="119" spans="1:21" x14ac:dyDescent="0.25">
      <c r="A119" s="3" t="s">
        <v>199</v>
      </c>
      <c r="B119" s="4" t="s">
        <v>200</v>
      </c>
      <c r="C119" s="5" t="s">
        <v>28</v>
      </c>
      <c r="D119" s="6">
        <v>0</v>
      </c>
      <c r="E119" s="6">
        <v>0</v>
      </c>
      <c r="F119" s="6">
        <v>360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7">
        <v>1</v>
      </c>
      <c r="Q119" s="7">
        <v>12</v>
      </c>
      <c r="R119" s="7">
        <v>0</v>
      </c>
      <c r="S119" s="13">
        <v>0</v>
      </c>
      <c r="T119" s="15">
        <v>3.07</v>
      </c>
      <c r="U119" s="8">
        <f>IF(S119="",0,S119)*T119</f>
        <v>0</v>
      </c>
    </row>
    <row r="120" spans="1:21" x14ac:dyDescent="0.25">
      <c r="A120" s="9" t="s">
        <v>201</v>
      </c>
      <c r="B120" s="10"/>
      <c r="C120" s="11" t="s">
        <v>30</v>
      </c>
      <c r="D120" s="12">
        <v>0</v>
      </c>
      <c r="E120" s="12">
        <v>0</v>
      </c>
      <c r="F120" s="12">
        <v>192</v>
      </c>
      <c r="G120" s="12">
        <v>147</v>
      </c>
      <c r="H120" s="12">
        <v>15</v>
      </c>
      <c r="I120" s="12">
        <v>4</v>
      </c>
      <c r="J120" s="12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0"/>
      <c r="Q120" s="10"/>
      <c r="R120" s="10"/>
      <c r="S120" s="14"/>
      <c r="T120" s="14"/>
    </row>
    <row r="121" spans="1:21" x14ac:dyDescent="0.25">
      <c r="A121" s="3" t="s">
        <v>202</v>
      </c>
      <c r="B121" s="4" t="s">
        <v>203</v>
      </c>
      <c r="C121" s="5" t="s">
        <v>28</v>
      </c>
      <c r="D121" s="6">
        <v>96</v>
      </c>
      <c r="E121" s="6">
        <v>0</v>
      </c>
      <c r="F121" s="6">
        <v>48</v>
      </c>
      <c r="G121" s="6">
        <v>0</v>
      </c>
      <c r="H121" s="6">
        <v>0</v>
      </c>
      <c r="I121" s="6">
        <v>48</v>
      </c>
      <c r="J121" s="6">
        <v>96</v>
      </c>
      <c r="K121" s="6">
        <v>48</v>
      </c>
      <c r="L121" s="6">
        <v>0</v>
      </c>
      <c r="M121" s="6">
        <v>96</v>
      </c>
      <c r="N121" s="6">
        <v>96</v>
      </c>
      <c r="O121" s="6">
        <v>48</v>
      </c>
      <c r="P121" s="7">
        <v>0</v>
      </c>
      <c r="Q121" s="7">
        <v>12</v>
      </c>
      <c r="R121" s="7">
        <v>48</v>
      </c>
      <c r="S121" s="13">
        <v>0</v>
      </c>
      <c r="T121" s="15">
        <v>3.34</v>
      </c>
      <c r="U121" s="8">
        <f>IF(S121="",0,S121)*T121</f>
        <v>0</v>
      </c>
    </row>
    <row r="122" spans="1:21" x14ac:dyDescent="0.25">
      <c r="A122" s="9" t="s">
        <v>204</v>
      </c>
      <c r="B122" s="10"/>
      <c r="C122" s="11" t="s">
        <v>30</v>
      </c>
      <c r="D122" s="12">
        <v>53</v>
      </c>
      <c r="E122" s="12">
        <v>52</v>
      </c>
      <c r="F122" s="12">
        <v>35</v>
      </c>
      <c r="G122" s="12">
        <v>11</v>
      </c>
      <c r="H122" s="12">
        <v>70</v>
      </c>
      <c r="I122" s="12">
        <v>63</v>
      </c>
      <c r="J122" s="12">
        <v>48</v>
      </c>
      <c r="K122" s="12">
        <v>29</v>
      </c>
      <c r="L122" s="12">
        <v>45</v>
      </c>
      <c r="M122" s="12">
        <v>71</v>
      </c>
      <c r="N122" s="12">
        <v>83</v>
      </c>
      <c r="O122" s="12">
        <v>57</v>
      </c>
      <c r="P122" s="10"/>
      <c r="Q122" s="10"/>
      <c r="R122" s="10"/>
      <c r="S122" s="14"/>
      <c r="T122" s="14"/>
    </row>
    <row r="123" spans="1:21" x14ac:dyDescent="0.25">
      <c r="A123" s="3" t="s">
        <v>205</v>
      </c>
      <c r="B123" s="4" t="s">
        <v>206</v>
      </c>
      <c r="C123" s="5" t="s">
        <v>28</v>
      </c>
      <c r="D123" s="6">
        <v>12</v>
      </c>
      <c r="E123" s="6">
        <v>0</v>
      </c>
      <c r="F123" s="6">
        <v>0</v>
      </c>
      <c r="G123" s="6">
        <v>0</v>
      </c>
      <c r="H123" s="6">
        <v>12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7">
        <v>0</v>
      </c>
      <c r="Q123" s="7">
        <v>12</v>
      </c>
      <c r="R123" s="7">
        <v>0</v>
      </c>
      <c r="S123" s="13">
        <v>0</v>
      </c>
      <c r="T123" s="15">
        <v>7.17</v>
      </c>
      <c r="U123" s="8">
        <f>IF(S123="",0,S123)*T123</f>
        <v>0</v>
      </c>
    </row>
    <row r="124" spans="1:21" x14ac:dyDescent="0.25">
      <c r="A124" s="9" t="s">
        <v>207</v>
      </c>
      <c r="B124" s="10"/>
      <c r="C124" s="11" t="s">
        <v>30</v>
      </c>
      <c r="D124" s="12">
        <v>3</v>
      </c>
      <c r="E124" s="12">
        <v>8</v>
      </c>
      <c r="F124" s="12">
        <v>2</v>
      </c>
      <c r="G124" s="12">
        <v>0</v>
      </c>
      <c r="H124" s="12">
        <v>0</v>
      </c>
      <c r="I124" s="12">
        <v>4</v>
      </c>
      <c r="J124" s="12">
        <v>2</v>
      </c>
      <c r="K124" s="12">
        <v>5</v>
      </c>
      <c r="L124" s="12">
        <v>0</v>
      </c>
      <c r="M124" s="12">
        <v>0</v>
      </c>
      <c r="N124" s="12">
        <v>1</v>
      </c>
      <c r="O124" s="12">
        <v>0</v>
      </c>
      <c r="P124" s="10"/>
      <c r="Q124" s="10"/>
      <c r="R124" s="10"/>
      <c r="S124" s="14"/>
      <c r="T124" s="14"/>
    </row>
    <row r="125" spans="1:21" x14ac:dyDescent="0.25">
      <c r="A125" s="3" t="s">
        <v>208</v>
      </c>
      <c r="B125" s="4" t="s">
        <v>209</v>
      </c>
      <c r="C125" s="5" t="s">
        <v>28</v>
      </c>
      <c r="D125" s="6">
        <v>48</v>
      </c>
      <c r="E125" s="6">
        <v>24</v>
      </c>
      <c r="F125" s="6">
        <v>24</v>
      </c>
      <c r="G125" s="6">
        <v>0</v>
      </c>
      <c r="H125" s="6">
        <v>24</v>
      </c>
      <c r="I125" s="6">
        <v>0</v>
      </c>
      <c r="J125" s="6">
        <v>0</v>
      </c>
      <c r="K125" s="6">
        <v>0</v>
      </c>
      <c r="L125" s="6">
        <v>0</v>
      </c>
      <c r="M125" s="6">
        <v>48</v>
      </c>
      <c r="N125" s="6">
        <v>0</v>
      </c>
      <c r="O125" s="6">
        <v>24</v>
      </c>
      <c r="P125" s="7">
        <v>31</v>
      </c>
      <c r="Q125" s="7">
        <v>24</v>
      </c>
      <c r="R125" s="7">
        <v>0</v>
      </c>
      <c r="S125" s="13">
        <v>0</v>
      </c>
      <c r="T125" s="15">
        <v>5.98</v>
      </c>
      <c r="U125" s="8">
        <f>IF(S125="",0,S125)*T125</f>
        <v>0</v>
      </c>
    </row>
    <row r="126" spans="1:21" x14ac:dyDescent="0.25">
      <c r="A126" s="9" t="s">
        <v>210</v>
      </c>
      <c r="B126" s="10"/>
      <c r="C126" s="11" t="s">
        <v>30</v>
      </c>
      <c r="D126" s="12">
        <v>33</v>
      </c>
      <c r="E126" s="12">
        <v>31</v>
      </c>
      <c r="F126" s="12">
        <v>17</v>
      </c>
      <c r="G126" s="12">
        <v>8</v>
      </c>
      <c r="H126" s="12">
        <v>4</v>
      </c>
      <c r="I126" s="12">
        <v>14</v>
      </c>
      <c r="J126" s="12">
        <v>13</v>
      </c>
      <c r="K126" s="12">
        <v>0</v>
      </c>
      <c r="L126" s="12">
        <v>0</v>
      </c>
      <c r="M126" s="12">
        <v>12</v>
      </c>
      <c r="N126" s="12">
        <v>10</v>
      </c>
      <c r="O126" s="12">
        <v>19</v>
      </c>
      <c r="P126" s="10"/>
      <c r="Q126" s="10"/>
      <c r="R126" s="10"/>
      <c r="S126" s="14"/>
      <c r="T126" s="14"/>
    </row>
    <row r="127" spans="1:21" x14ac:dyDescent="0.25">
      <c r="A127" s="3" t="s">
        <v>211</v>
      </c>
      <c r="B127" s="4" t="s">
        <v>212</v>
      </c>
      <c r="C127" s="5" t="s">
        <v>28</v>
      </c>
      <c r="D127" s="6">
        <v>0</v>
      </c>
      <c r="E127" s="6">
        <v>24</v>
      </c>
      <c r="F127" s="6">
        <v>0</v>
      </c>
      <c r="G127" s="6">
        <v>24</v>
      </c>
      <c r="H127" s="6">
        <v>12</v>
      </c>
      <c r="I127" s="6">
        <v>12</v>
      </c>
      <c r="J127" s="6">
        <v>24</v>
      </c>
      <c r="K127" s="6">
        <v>24</v>
      </c>
      <c r="L127" s="6">
        <v>24</v>
      </c>
      <c r="M127" s="6">
        <v>24</v>
      </c>
      <c r="N127" s="6">
        <v>0</v>
      </c>
      <c r="O127" s="6">
        <v>0</v>
      </c>
      <c r="P127" s="7">
        <v>7</v>
      </c>
      <c r="Q127" s="7">
        <v>12</v>
      </c>
      <c r="R127" s="7">
        <v>12</v>
      </c>
      <c r="S127" s="13">
        <v>0</v>
      </c>
      <c r="T127" s="15">
        <v>9.98</v>
      </c>
      <c r="U127" s="8">
        <f>IF(S127="",0,S127)*T127</f>
        <v>0</v>
      </c>
    </row>
    <row r="128" spans="1:21" x14ac:dyDescent="0.25">
      <c r="A128" s="9" t="s">
        <v>213</v>
      </c>
      <c r="B128" s="10"/>
      <c r="C128" s="11" t="s">
        <v>30</v>
      </c>
      <c r="D128" s="12">
        <v>14</v>
      </c>
      <c r="E128" s="12">
        <v>5</v>
      </c>
      <c r="F128" s="12">
        <v>13</v>
      </c>
      <c r="G128" s="12">
        <v>32</v>
      </c>
      <c r="H128" s="12">
        <v>8</v>
      </c>
      <c r="I128" s="12">
        <v>14</v>
      </c>
      <c r="J128" s="12">
        <v>11</v>
      </c>
      <c r="K128" s="12">
        <v>30</v>
      </c>
      <c r="L128" s="12">
        <v>8</v>
      </c>
      <c r="M128" s="12">
        <v>12</v>
      </c>
      <c r="N128" s="12">
        <v>9</v>
      </c>
      <c r="O128" s="12">
        <v>5</v>
      </c>
      <c r="P128" s="10"/>
      <c r="Q128" s="10"/>
      <c r="R128" s="10"/>
      <c r="S128" s="14"/>
      <c r="T128" s="14"/>
    </row>
    <row r="129" spans="1:21" x14ac:dyDescent="0.25">
      <c r="A129" s="3" t="s">
        <v>214</v>
      </c>
      <c r="B129" s="4" t="s">
        <v>215</v>
      </c>
      <c r="C129" s="5" t="s">
        <v>28</v>
      </c>
      <c r="D129" s="6">
        <v>12</v>
      </c>
      <c r="E129" s="6">
        <v>12</v>
      </c>
      <c r="F129" s="6">
        <v>0</v>
      </c>
      <c r="G129" s="6">
        <v>24</v>
      </c>
      <c r="H129" s="6">
        <v>12</v>
      </c>
      <c r="I129" s="6">
        <v>0</v>
      </c>
      <c r="J129" s="6">
        <v>0</v>
      </c>
      <c r="K129" s="6">
        <v>0</v>
      </c>
      <c r="L129" s="6">
        <v>12</v>
      </c>
      <c r="M129" s="6">
        <v>12</v>
      </c>
      <c r="N129" s="6">
        <v>0</v>
      </c>
      <c r="O129" s="6">
        <v>0</v>
      </c>
      <c r="P129" s="7">
        <v>8</v>
      </c>
      <c r="Q129" s="7">
        <v>6</v>
      </c>
      <c r="R129" s="7">
        <v>0</v>
      </c>
      <c r="S129" s="13">
        <v>0</v>
      </c>
      <c r="T129" s="15">
        <v>8.6999999999999993</v>
      </c>
      <c r="U129" s="8">
        <f>IF(S129="",0,S129)*T129</f>
        <v>0</v>
      </c>
    </row>
    <row r="130" spans="1:21" x14ac:dyDescent="0.25">
      <c r="A130" s="9" t="s">
        <v>216</v>
      </c>
      <c r="B130" s="10"/>
      <c r="C130" s="11" t="s">
        <v>30</v>
      </c>
      <c r="D130" s="12">
        <v>12</v>
      </c>
      <c r="E130" s="12">
        <v>3</v>
      </c>
      <c r="F130" s="12">
        <v>12</v>
      </c>
      <c r="G130" s="12">
        <v>14</v>
      </c>
      <c r="H130" s="12">
        <v>10</v>
      </c>
      <c r="I130" s="12">
        <v>0</v>
      </c>
      <c r="J130" s="12">
        <v>0</v>
      </c>
      <c r="K130" s="12">
        <v>6</v>
      </c>
      <c r="L130" s="12">
        <v>9</v>
      </c>
      <c r="M130" s="12">
        <v>9</v>
      </c>
      <c r="N130" s="12">
        <v>1</v>
      </c>
      <c r="O130" s="12">
        <v>0</v>
      </c>
      <c r="P130" s="10"/>
      <c r="Q130" s="10"/>
      <c r="R130" s="10"/>
      <c r="S130" s="14"/>
      <c r="T130" s="14"/>
    </row>
    <row r="131" spans="1:21" x14ac:dyDescent="0.25">
      <c r="A131" s="3" t="s">
        <v>217</v>
      </c>
      <c r="B131" s="4" t="s">
        <v>218</v>
      </c>
      <c r="C131" s="5" t="s">
        <v>28</v>
      </c>
      <c r="D131" s="6">
        <v>48</v>
      </c>
      <c r="E131" s="6">
        <v>48</v>
      </c>
      <c r="F131" s="6">
        <v>0</v>
      </c>
      <c r="G131" s="6">
        <v>0</v>
      </c>
      <c r="H131" s="6">
        <v>0</v>
      </c>
      <c r="I131" s="6">
        <v>48</v>
      </c>
      <c r="J131" s="6">
        <v>0</v>
      </c>
      <c r="K131" s="6">
        <v>0</v>
      </c>
      <c r="L131" s="6">
        <v>0</v>
      </c>
      <c r="M131" s="6">
        <v>48</v>
      </c>
      <c r="N131" s="6">
        <v>24</v>
      </c>
      <c r="O131" s="6">
        <v>24</v>
      </c>
      <c r="P131" s="7">
        <v>43</v>
      </c>
      <c r="Q131" s="7">
        <v>24</v>
      </c>
      <c r="R131" s="7">
        <v>0</v>
      </c>
      <c r="S131" s="13">
        <v>0</v>
      </c>
      <c r="T131" s="15">
        <v>6.88</v>
      </c>
      <c r="U131" s="8">
        <f>IF(S131="",0,S131)*T131</f>
        <v>0</v>
      </c>
    </row>
    <row r="132" spans="1:21" x14ac:dyDescent="0.25">
      <c r="A132" s="9" t="s">
        <v>219</v>
      </c>
      <c r="B132" s="10"/>
      <c r="C132" s="11" t="s">
        <v>30</v>
      </c>
      <c r="D132" s="12">
        <v>28</v>
      </c>
      <c r="E132" s="12">
        <v>28</v>
      </c>
      <c r="F132" s="12">
        <v>35</v>
      </c>
      <c r="G132" s="12">
        <v>0</v>
      </c>
      <c r="H132" s="12">
        <v>0</v>
      </c>
      <c r="I132" s="12">
        <v>25</v>
      </c>
      <c r="J132" s="12">
        <v>19</v>
      </c>
      <c r="K132" s="12">
        <v>0</v>
      </c>
      <c r="L132" s="12">
        <v>0</v>
      </c>
      <c r="M132" s="12">
        <v>22</v>
      </c>
      <c r="N132" s="12">
        <v>18</v>
      </c>
      <c r="O132" s="12">
        <v>22</v>
      </c>
      <c r="P132" s="10"/>
      <c r="Q132" s="10"/>
      <c r="R132" s="10"/>
      <c r="S132" s="14"/>
      <c r="T132" s="14"/>
    </row>
    <row r="133" spans="1:21" x14ac:dyDescent="0.25">
      <c r="A133" s="3" t="s">
        <v>220</v>
      </c>
      <c r="B133" s="4" t="s">
        <v>221</v>
      </c>
      <c r="C133" s="5" t="s">
        <v>28</v>
      </c>
      <c r="D133" s="6">
        <v>0</v>
      </c>
      <c r="E133" s="6">
        <v>6</v>
      </c>
      <c r="F133" s="6">
        <v>0</v>
      </c>
      <c r="G133" s="6">
        <v>12</v>
      </c>
      <c r="H133" s="6">
        <v>24</v>
      </c>
      <c r="I133" s="6">
        <v>0</v>
      </c>
      <c r="J133" s="6">
        <v>24</v>
      </c>
      <c r="K133" s="6">
        <v>0</v>
      </c>
      <c r="L133" s="6">
        <v>12</v>
      </c>
      <c r="M133" s="6">
        <v>45</v>
      </c>
      <c r="N133" s="6">
        <v>0</v>
      </c>
      <c r="O133" s="6">
        <v>0</v>
      </c>
      <c r="P133" s="7">
        <v>4</v>
      </c>
      <c r="Q133" s="7">
        <v>10</v>
      </c>
      <c r="R133" s="7">
        <v>10</v>
      </c>
      <c r="S133" s="13">
        <v>0</v>
      </c>
      <c r="T133" s="15">
        <v>9.89</v>
      </c>
      <c r="U133" s="8">
        <f>IF(S133="",0,S133)*T133</f>
        <v>0</v>
      </c>
    </row>
    <row r="134" spans="1:21" x14ac:dyDescent="0.25">
      <c r="A134" s="9" t="s">
        <v>222</v>
      </c>
      <c r="B134" s="10"/>
      <c r="C134" s="11" t="s">
        <v>30</v>
      </c>
      <c r="D134" s="12">
        <v>1</v>
      </c>
      <c r="E134" s="12">
        <v>3</v>
      </c>
      <c r="F134" s="12">
        <v>3</v>
      </c>
      <c r="G134" s="12">
        <v>7</v>
      </c>
      <c r="H134" s="12">
        <v>9</v>
      </c>
      <c r="I134" s="12">
        <v>13</v>
      </c>
      <c r="J134" s="12">
        <v>15</v>
      </c>
      <c r="K134" s="12">
        <v>14</v>
      </c>
      <c r="L134" s="12">
        <v>11</v>
      </c>
      <c r="M134" s="12">
        <v>7</v>
      </c>
      <c r="N134" s="12">
        <v>21</v>
      </c>
      <c r="O134" s="12">
        <v>15</v>
      </c>
      <c r="P134" s="10"/>
      <c r="Q134" s="10"/>
      <c r="R134" s="10"/>
      <c r="S134" s="14"/>
      <c r="T134" s="14"/>
    </row>
    <row r="135" spans="1:21" x14ac:dyDescent="0.25">
      <c r="A135" s="3" t="s">
        <v>223</v>
      </c>
      <c r="B135" s="4" t="s">
        <v>224</v>
      </c>
      <c r="C135" s="5" t="s">
        <v>28</v>
      </c>
      <c r="D135" s="6">
        <v>0</v>
      </c>
      <c r="E135" s="6">
        <v>12</v>
      </c>
      <c r="F135" s="6">
        <v>0</v>
      </c>
      <c r="G135" s="6">
        <v>15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7">
        <v>0</v>
      </c>
      <c r="Q135" s="7">
        <v>10</v>
      </c>
      <c r="R135" s="7">
        <v>0</v>
      </c>
      <c r="S135" s="13">
        <v>0</v>
      </c>
      <c r="T135" s="15">
        <v>8.3800000000000008</v>
      </c>
      <c r="U135" s="8">
        <f>IF(S135="",0,S135)*T135</f>
        <v>0</v>
      </c>
    </row>
    <row r="136" spans="1:21" x14ac:dyDescent="0.25">
      <c r="A136" s="9" t="s">
        <v>225</v>
      </c>
      <c r="B136" s="10"/>
      <c r="C136" s="11" t="s">
        <v>30</v>
      </c>
      <c r="D136" s="12">
        <v>5</v>
      </c>
      <c r="E136" s="12">
        <v>8</v>
      </c>
      <c r="F136" s="12">
        <v>4</v>
      </c>
      <c r="G136" s="12">
        <v>6</v>
      </c>
      <c r="H136" s="12">
        <v>4</v>
      </c>
      <c r="I136" s="12">
        <v>0</v>
      </c>
      <c r="J136" s="12">
        <v>0</v>
      </c>
      <c r="K136" s="12">
        <v>4</v>
      </c>
      <c r="L136" s="12">
        <v>0</v>
      </c>
      <c r="M136" s="12">
        <v>0</v>
      </c>
      <c r="N136" s="12">
        <v>0</v>
      </c>
      <c r="O136" s="12">
        <v>0</v>
      </c>
      <c r="P136" s="10"/>
      <c r="Q136" s="10"/>
      <c r="R136" s="10"/>
      <c r="S136" s="14"/>
      <c r="T136" s="14"/>
    </row>
    <row r="137" spans="1:21" x14ac:dyDescent="0.25">
      <c r="A137" s="3" t="s">
        <v>226</v>
      </c>
      <c r="B137" s="4" t="s">
        <v>227</v>
      </c>
      <c r="C137" s="5" t="s">
        <v>28</v>
      </c>
      <c r="D137" s="6">
        <v>48</v>
      </c>
      <c r="E137" s="6">
        <v>48</v>
      </c>
      <c r="F137" s="6">
        <v>72</v>
      </c>
      <c r="G137" s="6">
        <v>96</v>
      </c>
      <c r="H137" s="6">
        <v>0</v>
      </c>
      <c r="I137" s="6">
        <v>0</v>
      </c>
      <c r="J137" s="6">
        <v>24</v>
      </c>
      <c r="K137" s="6">
        <v>24</v>
      </c>
      <c r="L137" s="6">
        <v>24</v>
      </c>
      <c r="M137" s="6">
        <v>120</v>
      </c>
      <c r="N137" s="6">
        <v>0</v>
      </c>
      <c r="O137" s="6">
        <v>0</v>
      </c>
      <c r="P137" s="7">
        <v>11</v>
      </c>
      <c r="Q137" s="7">
        <v>48</v>
      </c>
      <c r="R137" s="7">
        <v>0</v>
      </c>
      <c r="S137" s="13">
        <v>0</v>
      </c>
      <c r="T137" s="15">
        <v>4.95</v>
      </c>
      <c r="U137" s="8">
        <f>IF(S137="",0,S137)*T137</f>
        <v>0</v>
      </c>
    </row>
    <row r="138" spans="1:21" x14ac:dyDescent="0.25">
      <c r="A138" s="9" t="s">
        <v>228</v>
      </c>
      <c r="B138" s="10"/>
      <c r="C138" s="11" t="s">
        <v>30</v>
      </c>
      <c r="D138" s="12">
        <v>35</v>
      </c>
      <c r="E138" s="12">
        <v>30</v>
      </c>
      <c r="F138" s="12">
        <v>57</v>
      </c>
      <c r="G138" s="12">
        <v>45</v>
      </c>
      <c r="H138" s="12">
        <v>40</v>
      </c>
      <c r="I138" s="12">
        <v>42</v>
      </c>
      <c r="J138" s="12">
        <v>35</v>
      </c>
      <c r="K138" s="12">
        <v>23</v>
      </c>
      <c r="L138" s="12">
        <v>24</v>
      </c>
      <c r="M138" s="12">
        <v>36</v>
      </c>
      <c r="N138" s="12">
        <v>46</v>
      </c>
      <c r="O138" s="12">
        <v>32</v>
      </c>
      <c r="P138" s="10"/>
      <c r="Q138" s="10"/>
      <c r="R138" s="10"/>
      <c r="S138" s="14"/>
      <c r="T138" s="14"/>
    </row>
    <row r="139" spans="1:21" x14ac:dyDescent="0.25">
      <c r="A139" s="3" t="s">
        <v>229</v>
      </c>
      <c r="B139" s="4" t="s">
        <v>230</v>
      </c>
      <c r="C139" s="5" t="s">
        <v>28</v>
      </c>
      <c r="D139" s="6">
        <v>50</v>
      </c>
      <c r="E139" s="6">
        <v>0</v>
      </c>
      <c r="F139" s="6">
        <v>0</v>
      </c>
      <c r="G139" s="6">
        <v>0</v>
      </c>
      <c r="H139" s="6">
        <v>0</v>
      </c>
      <c r="I139" s="6">
        <v>50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7">
        <v>0</v>
      </c>
      <c r="Q139" s="7">
        <v>50</v>
      </c>
      <c r="R139" s="7">
        <v>0</v>
      </c>
      <c r="S139" s="13">
        <v>0</v>
      </c>
      <c r="T139" s="15">
        <v>1.59</v>
      </c>
      <c r="U139" s="8">
        <f>IF(S139="",0,S139)*T139</f>
        <v>0</v>
      </c>
    </row>
    <row r="140" spans="1:21" x14ac:dyDescent="0.25">
      <c r="A140" s="9" t="s">
        <v>231</v>
      </c>
      <c r="B140" s="10"/>
      <c r="C140" s="11" t="s">
        <v>30</v>
      </c>
      <c r="D140" s="12">
        <v>0</v>
      </c>
      <c r="E140" s="12">
        <v>30</v>
      </c>
      <c r="F140" s="12">
        <v>20</v>
      </c>
      <c r="G140" s="12">
        <v>1</v>
      </c>
      <c r="H140" s="12">
        <v>0</v>
      </c>
      <c r="I140" s="12">
        <v>7</v>
      </c>
      <c r="J140" s="12">
        <v>32</v>
      </c>
      <c r="K140" s="12">
        <v>10</v>
      </c>
      <c r="L140" s="12">
        <v>0</v>
      </c>
      <c r="M140" s="12">
        <v>0</v>
      </c>
      <c r="N140" s="12">
        <v>0</v>
      </c>
      <c r="O140" s="12">
        <v>0</v>
      </c>
      <c r="P140" s="10"/>
      <c r="Q140" s="10"/>
      <c r="R140" s="10"/>
      <c r="S140" s="14"/>
      <c r="T140" s="14"/>
    </row>
    <row r="141" spans="1:21" x14ac:dyDescent="0.25">
      <c r="A141" s="3" t="s">
        <v>232</v>
      </c>
      <c r="B141" s="4" t="s">
        <v>233</v>
      </c>
      <c r="C141" s="5" t="s">
        <v>28</v>
      </c>
      <c r="D141" s="6">
        <v>50</v>
      </c>
      <c r="E141" s="6">
        <v>50</v>
      </c>
      <c r="F141" s="6">
        <v>50</v>
      </c>
      <c r="G141" s="6">
        <v>100</v>
      </c>
      <c r="H141" s="6">
        <v>50</v>
      </c>
      <c r="I141" s="6">
        <v>50</v>
      </c>
      <c r="J141" s="6">
        <v>100</v>
      </c>
      <c r="K141" s="6">
        <v>0</v>
      </c>
      <c r="L141" s="6">
        <v>50</v>
      </c>
      <c r="M141" s="6">
        <v>50</v>
      </c>
      <c r="N141" s="6">
        <v>100</v>
      </c>
      <c r="O141" s="6">
        <v>50</v>
      </c>
      <c r="P141" s="7">
        <v>0</v>
      </c>
      <c r="Q141" s="7">
        <v>50</v>
      </c>
      <c r="R141" s="7">
        <v>50</v>
      </c>
      <c r="S141" s="13">
        <v>0</v>
      </c>
      <c r="T141" s="15">
        <v>1.4</v>
      </c>
      <c r="U141" s="8">
        <f>IF(S141="",0,S141)*T141</f>
        <v>0</v>
      </c>
    </row>
    <row r="142" spans="1:21" x14ac:dyDescent="0.25">
      <c r="A142" s="9" t="s">
        <v>234</v>
      </c>
      <c r="B142" s="10"/>
      <c r="C142" s="11" t="s">
        <v>30</v>
      </c>
      <c r="D142" s="12">
        <v>48</v>
      </c>
      <c r="E142" s="12">
        <v>58</v>
      </c>
      <c r="F142" s="12">
        <v>43</v>
      </c>
      <c r="G142" s="12">
        <v>74</v>
      </c>
      <c r="H142" s="12">
        <v>36</v>
      </c>
      <c r="I142" s="12">
        <v>58</v>
      </c>
      <c r="J142" s="12">
        <v>61</v>
      </c>
      <c r="K142" s="12">
        <v>75</v>
      </c>
      <c r="L142" s="12">
        <v>40</v>
      </c>
      <c r="M142" s="12">
        <v>76</v>
      </c>
      <c r="N142" s="12">
        <v>96</v>
      </c>
      <c r="O142" s="12">
        <v>48</v>
      </c>
      <c r="P142" s="10"/>
      <c r="Q142" s="10"/>
      <c r="R142" s="10"/>
      <c r="S142" s="14"/>
      <c r="T142" s="14"/>
    </row>
    <row r="143" spans="1:21" x14ac:dyDescent="0.25">
      <c r="A143" s="3" t="s">
        <v>235</v>
      </c>
      <c r="B143" s="4" t="s">
        <v>236</v>
      </c>
      <c r="C143" s="5" t="s">
        <v>28</v>
      </c>
      <c r="D143" s="6">
        <v>0</v>
      </c>
      <c r="E143" s="6">
        <v>0</v>
      </c>
      <c r="F143" s="6">
        <v>0</v>
      </c>
      <c r="G143" s="6">
        <v>0</v>
      </c>
      <c r="H143" s="6">
        <v>480</v>
      </c>
      <c r="I143" s="6">
        <v>480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7">
        <v>95</v>
      </c>
      <c r="Q143" s="7">
        <v>1</v>
      </c>
      <c r="R143" s="7">
        <v>57</v>
      </c>
      <c r="S143" s="13">
        <v>0</v>
      </c>
      <c r="T143" s="15">
        <v>2.99</v>
      </c>
      <c r="U143" s="8">
        <f>IF(S143="",0,S143)*T143</f>
        <v>0</v>
      </c>
    </row>
    <row r="144" spans="1:21" x14ac:dyDescent="0.25">
      <c r="A144" s="9" t="s">
        <v>237</v>
      </c>
      <c r="B144" s="10"/>
      <c r="C144" s="11" t="s">
        <v>30</v>
      </c>
      <c r="D144" s="12">
        <v>0</v>
      </c>
      <c r="E144" s="12">
        <v>0</v>
      </c>
      <c r="F144" s="12">
        <v>0</v>
      </c>
      <c r="G144" s="12">
        <v>0</v>
      </c>
      <c r="H144" s="12">
        <v>399</v>
      </c>
      <c r="I144" s="12">
        <v>119</v>
      </c>
      <c r="J144" s="12">
        <v>344</v>
      </c>
      <c r="K144" s="12">
        <v>2</v>
      </c>
      <c r="L144" s="12">
        <v>0</v>
      </c>
      <c r="M144" s="12">
        <v>1</v>
      </c>
      <c r="N144" s="12">
        <v>0</v>
      </c>
      <c r="O144" s="12">
        <v>0</v>
      </c>
      <c r="P144" s="10"/>
      <c r="Q144" s="10"/>
      <c r="R144" s="10"/>
      <c r="S144" s="14"/>
      <c r="T144" s="14"/>
    </row>
    <row r="145" spans="1:21" x14ac:dyDescent="0.25">
      <c r="A145" s="3" t="s">
        <v>238</v>
      </c>
      <c r="B145" s="4" t="s">
        <v>239</v>
      </c>
      <c r="C145" s="5" t="s">
        <v>28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24</v>
      </c>
      <c r="K145" s="6">
        <v>360</v>
      </c>
      <c r="L145" s="6">
        <v>0</v>
      </c>
      <c r="M145" s="6">
        <v>0</v>
      </c>
      <c r="N145" s="6">
        <v>360</v>
      </c>
      <c r="O145" s="6">
        <v>0</v>
      </c>
      <c r="P145" s="7">
        <v>0</v>
      </c>
      <c r="Q145" s="7">
        <v>24</v>
      </c>
      <c r="R145" s="7">
        <v>120</v>
      </c>
      <c r="S145" s="13">
        <v>0</v>
      </c>
      <c r="T145" s="15">
        <v>4.76</v>
      </c>
      <c r="U145" s="8">
        <f>IF(S145="",0,S145)*T145</f>
        <v>0</v>
      </c>
    </row>
    <row r="146" spans="1:21" x14ac:dyDescent="0.25">
      <c r="A146" s="9" t="s">
        <v>240</v>
      </c>
      <c r="B146" s="10"/>
      <c r="C146" s="11" t="s">
        <v>30</v>
      </c>
      <c r="D146" s="12">
        <v>7</v>
      </c>
      <c r="E146" s="12">
        <v>43</v>
      </c>
      <c r="F146" s="12">
        <v>111</v>
      </c>
      <c r="G146" s="12">
        <v>57</v>
      </c>
      <c r="H146" s="12">
        <v>9</v>
      </c>
      <c r="I146" s="12">
        <v>0</v>
      </c>
      <c r="J146" s="12">
        <v>0</v>
      </c>
      <c r="K146" s="12">
        <v>29</v>
      </c>
      <c r="L146" s="12">
        <v>225</v>
      </c>
      <c r="M146" s="12">
        <v>111</v>
      </c>
      <c r="N146" s="12">
        <v>122</v>
      </c>
      <c r="O146" s="12">
        <v>250</v>
      </c>
      <c r="P146" s="10"/>
      <c r="Q146" s="10"/>
      <c r="R146" s="10"/>
      <c r="S146" s="14"/>
      <c r="T146" s="14"/>
    </row>
    <row r="147" spans="1:21" x14ac:dyDescent="0.25">
      <c r="A147" s="3" t="s">
        <v>241</v>
      </c>
      <c r="B147" s="4" t="s">
        <v>242</v>
      </c>
      <c r="C147" s="5" t="s">
        <v>28</v>
      </c>
      <c r="D147" s="6">
        <v>48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7">
        <v>0</v>
      </c>
      <c r="Q147" s="7">
        <v>24</v>
      </c>
      <c r="R147" s="7">
        <v>0</v>
      </c>
      <c r="S147" s="13">
        <v>0</v>
      </c>
      <c r="T147" s="15">
        <v>4.21</v>
      </c>
      <c r="U147" s="8">
        <f>IF(S147="",0,S147)*T147</f>
        <v>0</v>
      </c>
    </row>
    <row r="148" spans="1:21" x14ac:dyDescent="0.25">
      <c r="A148" s="9" t="s">
        <v>243</v>
      </c>
      <c r="B148" s="10"/>
      <c r="C148" s="11" t="s">
        <v>30</v>
      </c>
      <c r="D148" s="12">
        <v>20</v>
      </c>
      <c r="E148" s="12">
        <v>13</v>
      </c>
      <c r="F148" s="12">
        <v>10</v>
      </c>
      <c r="G148" s="12">
        <v>2</v>
      </c>
      <c r="H148" s="12">
        <v>0</v>
      </c>
      <c r="I148" s="12">
        <v>8</v>
      </c>
      <c r="J148" s="12">
        <v>1</v>
      </c>
      <c r="K148" s="12">
        <v>8</v>
      </c>
      <c r="L148" s="12">
        <v>0</v>
      </c>
      <c r="M148" s="12">
        <v>0</v>
      </c>
      <c r="N148" s="12">
        <v>0</v>
      </c>
      <c r="O148" s="12">
        <v>0</v>
      </c>
      <c r="P148" s="10"/>
      <c r="Q148" s="10"/>
      <c r="R148" s="10"/>
      <c r="S148" s="14"/>
      <c r="T148" s="14"/>
    </row>
    <row r="149" spans="1:21" x14ac:dyDescent="0.25">
      <c r="A149" s="3" t="s">
        <v>244</v>
      </c>
      <c r="B149" s="4" t="s">
        <v>245</v>
      </c>
      <c r="C149" s="5" t="s">
        <v>28</v>
      </c>
      <c r="D149" s="6">
        <v>200</v>
      </c>
      <c r="E149" s="6">
        <v>50</v>
      </c>
      <c r="F149" s="6">
        <v>100</v>
      </c>
      <c r="G149" s="6">
        <v>200</v>
      </c>
      <c r="H149" s="6">
        <v>100</v>
      </c>
      <c r="I149" s="6">
        <v>100</v>
      </c>
      <c r="J149" s="6">
        <v>100</v>
      </c>
      <c r="K149" s="6">
        <v>300</v>
      </c>
      <c r="L149" s="6">
        <v>100</v>
      </c>
      <c r="M149" s="6">
        <v>150</v>
      </c>
      <c r="N149" s="6">
        <v>50</v>
      </c>
      <c r="O149" s="6">
        <v>50</v>
      </c>
      <c r="P149" s="7">
        <v>68</v>
      </c>
      <c r="Q149" s="7">
        <v>50</v>
      </c>
      <c r="R149" s="7">
        <v>100</v>
      </c>
      <c r="S149" s="13">
        <v>0</v>
      </c>
      <c r="T149" s="15">
        <v>2.0099999999999998</v>
      </c>
      <c r="U149" s="8">
        <f>IF(S149="",0,S149)*T149</f>
        <v>0</v>
      </c>
    </row>
    <row r="150" spans="1:21" x14ac:dyDescent="0.25">
      <c r="A150" s="9" t="s">
        <v>246</v>
      </c>
      <c r="B150" s="10"/>
      <c r="C150" s="11" t="s">
        <v>30</v>
      </c>
      <c r="D150" s="12">
        <v>105</v>
      </c>
      <c r="E150" s="12">
        <v>108</v>
      </c>
      <c r="F150" s="12">
        <v>152</v>
      </c>
      <c r="G150" s="12">
        <v>64</v>
      </c>
      <c r="H150" s="12">
        <v>153</v>
      </c>
      <c r="I150" s="12">
        <v>93</v>
      </c>
      <c r="J150" s="12">
        <v>125</v>
      </c>
      <c r="K150" s="12">
        <v>193</v>
      </c>
      <c r="L150" s="12">
        <v>208</v>
      </c>
      <c r="M150" s="12">
        <v>113</v>
      </c>
      <c r="N150" s="12">
        <v>68</v>
      </c>
      <c r="O150" s="12">
        <v>50</v>
      </c>
      <c r="P150" s="10"/>
      <c r="Q150" s="10"/>
      <c r="R150" s="10"/>
      <c r="S150" s="14"/>
      <c r="T150" s="14"/>
    </row>
    <row r="151" spans="1:21" x14ac:dyDescent="0.25">
      <c r="A151" s="3" t="s">
        <v>247</v>
      </c>
      <c r="B151" s="4" t="s">
        <v>248</v>
      </c>
      <c r="C151" s="5" t="s">
        <v>28</v>
      </c>
      <c r="D151" s="6">
        <v>50</v>
      </c>
      <c r="E151" s="6">
        <v>50</v>
      </c>
      <c r="F151" s="6">
        <v>0</v>
      </c>
      <c r="G151" s="6">
        <v>0</v>
      </c>
      <c r="H151" s="6">
        <v>50</v>
      </c>
      <c r="I151" s="6">
        <v>50</v>
      </c>
      <c r="J151" s="6">
        <v>50</v>
      </c>
      <c r="K151" s="6">
        <v>50</v>
      </c>
      <c r="L151" s="6">
        <v>50</v>
      </c>
      <c r="M151" s="6">
        <v>0</v>
      </c>
      <c r="N151" s="6">
        <v>0</v>
      </c>
      <c r="O151" s="6">
        <v>0</v>
      </c>
      <c r="P151" s="7">
        <v>0</v>
      </c>
      <c r="Q151" s="7">
        <v>40</v>
      </c>
      <c r="R151" s="7">
        <v>0</v>
      </c>
      <c r="S151" s="13">
        <v>0</v>
      </c>
      <c r="T151" s="15">
        <v>2.8</v>
      </c>
      <c r="U151" s="8">
        <f>IF(S151="",0,S151)*T151</f>
        <v>0</v>
      </c>
    </row>
    <row r="152" spans="1:21" x14ac:dyDescent="0.25">
      <c r="A152" s="9" t="s">
        <v>249</v>
      </c>
      <c r="B152" s="10"/>
      <c r="C152" s="11" t="s">
        <v>30</v>
      </c>
      <c r="D152" s="12">
        <v>52</v>
      </c>
      <c r="E152" s="12">
        <v>28</v>
      </c>
      <c r="F152" s="12">
        <v>51</v>
      </c>
      <c r="G152" s="12">
        <v>0</v>
      </c>
      <c r="H152" s="12">
        <v>12</v>
      </c>
      <c r="I152" s="12">
        <v>38</v>
      </c>
      <c r="J152" s="12">
        <v>40</v>
      </c>
      <c r="K152" s="12">
        <v>66</v>
      </c>
      <c r="L152" s="12">
        <v>28</v>
      </c>
      <c r="M152" s="12">
        <v>9</v>
      </c>
      <c r="N152" s="12">
        <v>23</v>
      </c>
      <c r="O152" s="12">
        <v>22</v>
      </c>
      <c r="P152" s="10"/>
      <c r="Q152" s="10"/>
      <c r="R152" s="10"/>
      <c r="S152" s="14"/>
      <c r="T152" s="14"/>
    </row>
    <row r="153" spans="1:21" x14ac:dyDescent="0.25">
      <c r="A153" s="3" t="s">
        <v>250</v>
      </c>
      <c r="B153" s="4" t="s">
        <v>251</v>
      </c>
      <c r="C153" s="5" t="s">
        <v>28</v>
      </c>
      <c r="D153" s="6">
        <v>12</v>
      </c>
      <c r="E153" s="6">
        <v>0</v>
      </c>
      <c r="F153" s="6">
        <v>0</v>
      </c>
      <c r="G153" s="6">
        <v>12</v>
      </c>
      <c r="H153" s="6">
        <v>0</v>
      </c>
      <c r="I153" s="6">
        <v>0</v>
      </c>
      <c r="J153" s="6">
        <v>12</v>
      </c>
      <c r="K153" s="6">
        <v>0</v>
      </c>
      <c r="L153" s="6">
        <v>0</v>
      </c>
      <c r="M153" s="6">
        <v>6</v>
      </c>
      <c r="N153" s="6">
        <v>0</v>
      </c>
      <c r="O153" s="6">
        <v>0</v>
      </c>
      <c r="P153" s="7">
        <v>5</v>
      </c>
      <c r="Q153" s="7">
        <v>1</v>
      </c>
      <c r="R153" s="7">
        <v>2</v>
      </c>
      <c r="S153" s="13">
        <v>0</v>
      </c>
      <c r="T153" s="15">
        <v>26.58</v>
      </c>
      <c r="U153" s="8">
        <f>IF(S153="",0,S153)*T153</f>
        <v>0</v>
      </c>
    </row>
    <row r="154" spans="1:21" x14ac:dyDescent="0.25">
      <c r="A154" s="9" t="s">
        <v>252</v>
      </c>
      <c r="B154" s="10"/>
      <c r="C154" s="11" t="s">
        <v>30</v>
      </c>
      <c r="D154" s="12">
        <v>3</v>
      </c>
      <c r="E154" s="12">
        <v>4</v>
      </c>
      <c r="F154" s="12">
        <v>4</v>
      </c>
      <c r="G154" s="12">
        <v>4</v>
      </c>
      <c r="H154" s="12">
        <v>5</v>
      </c>
      <c r="I154" s="12">
        <v>2</v>
      </c>
      <c r="J154" s="12">
        <v>3</v>
      </c>
      <c r="K154" s="12">
        <v>5</v>
      </c>
      <c r="L154" s="12">
        <v>2</v>
      </c>
      <c r="M154" s="12">
        <v>1</v>
      </c>
      <c r="N154" s="12">
        <v>3</v>
      </c>
      <c r="O154" s="12">
        <v>1</v>
      </c>
      <c r="P154" s="10"/>
      <c r="Q154" s="10"/>
      <c r="R154" s="10"/>
      <c r="S154" s="14"/>
      <c r="T154" s="14"/>
    </row>
    <row r="155" spans="1:21" x14ac:dyDescent="0.25">
      <c r="A155" s="3" t="s">
        <v>253</v>
      </c>
      <c r="B155" s="4" t="s">
        <v>254</v>
      </c>
      <c r="C155" s="5" t="s">
        <v>28</v>
      </c>
      <c r="D155" s="6">
        <v>24</v>
      </c>
      <c r="E155" s="6">
        <v>24</v>
      </c>
      <c r="F155" s="6">
        <v>48</v>
      </c>
      <c r="G155" s="6">
        <v>0</v>
      </c>
      <c r="H155" s="6">
        <v>24</v>
      </c>
      <c r="I155" s="6">
        <v>24</v>
      </c>
      <c r="J155" s="6">
        <v>48</v>
      </c>
      <c r="K155" s="6">
        <v>24</v>
      </c>
      <c r="L155" s="6">
        <v>0</v>
      </c>
      <c r="M155" s="6">
        <v>0</v>
      </c>
      <c r="N155" s="6">
        <v>0</v>
      </c>
      <c r="O155" s="6">
        <v>24</v>
      </c>
      <c r="P155" s="7">
        <v>0</v>
      </c>
      <c r="Q155" s="7">
        <v>1</v>
      </c>
      <c r="R155" s="7">
        <v>25</v>
      </c>
      <c r="S155" s="13">
        <v>0</v>
      </c>
      <c r="T155" s="15">
        <v>2.5499999999999998</v>
      </c>
      <c r="U155" s="8">
        <f>IF(S155="",0,S155)*T155</f>
        <v>0</v>
      </c>
    </row>
    <row r="156" spans="1:21" x14ac:dyDescent="0.25">
      <c r="A156" s="9" t="s">
        <v>255</v>
      </c>
      <c r="B156" s="10"/>
      <c r="C156" s="11" t="s">
        <v>30</v>
      </c>
      <c r="D156" s="12">
        <v>11</v>
      </c>
      <c r="E156" s="12">
        <v>21</v>
      </c>
      <c r="F156" s="12">
        <v>16</v>
      </c>
      <c r="G156" s="12">
        <v>21</v>
      </c>
      <c r="H156" s="12">
        <v>17</v>
      </c>
      <c r="I156" s="12">
        <v>41</v>
      </c>
      <c r="J156" s="12">
        <v>26</v>
      </c>
      <c r="K156" s="12">
        <v>46</v>
      </c>
      <c r="L156" s="12">
        <v>25</v>
      </c>
      <c r="M156" s="12">
        <v>18</v>
      </c>
      <c r="N156" s="12">
        <v>15</v>
      </c>
      <c r="O156" s="12">
        <v>22</v>
      </c>
      <c r="P156" s="10"/>
      <c r="Q156" s="10"/>
      <c r="R156" s="10"/>
      <c r="S156" s="14"/>
      <c r="T156" s="14"/>
    </row>
    <row r="157" spans="1:21" x14ac:dyDescent="0.25">
      <c r="A157" s="3" t="s">
        <v>256</v>
      </c>
      <c r="B157" s="4" t="s">
        <v>257</v>
      </c>
      <c r="C157" s="5" t="s">
        <v>28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25</v>
      </c>
      <c r="M157" s="6">
        <v>0</v>
      </c>
      <c r="N157" s="6">
        <v>0</v>
      </c>
      <c r="O157" s="6">
        <v>0</v>
      </c>
      <c r="P157" s="7">
        <v>0</v>
      </c>
      <c r="Q157" s="7">
        <v>1</v>
      </c>
      <c r="R157" s="7">
        <v>4</v>
      </c>
      <c r="S157" s="13">
        <v>0</v>
      </c>
      <c r="T157" s="15">
        <v>7.32</v>
      </c>
      <c r="U157" s="8">
        <f>IF(S157="",0,S157)*T157</f>
        <v>0</v>
      </c>
    </row>
    <row r="158" spans="1:21" x14ac:dyDescent="0.25">
      <c r="A158" s="9" t="s">
        <v>258</v>
      </c>
      <c r="B158" s="10"/>
      <c r="C158" s="11" t="s">
        <v>30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1</v>
      </c>
      <c r="M158" s="12">
        <v>11</v>
      </c>
      <c r="N158" s="12">
        <v>6</v>
      </c>
      <c r="O158" s="12">
        <v>7</v>
      </c>
      <c r="P158" s="10"/>
      <c r="Q158" s="10"/>
      <c r="R158" s="10"/>
      <c r="S158" s="14"/>
      <c r="T158" s="14"/>
    </row>
    <row r="159" spans="1:21" x14ac:dyDescent="0.25">
      <c r="A159" s="3" t="s">
        <v>259</v>
      </c>
      <c r="B159" s="4" t="s">
        <v>260</v>
      </c>
      <c r="C159" s="5" t="s">
        <v>28</v>
      </c>
      <c r="D159" s="6">
        <v>0</v>
      </c>
      <c r="E159" s="6">
        <v>0</v>
      </c>
      <c r="F159" s="6">
        <v>25</v>
      </c>
      <c r="G159" s="6">
        <v>25</v>
      </c>
      <c r="H159" s="6">
        <v>25</v>
      </c>
      <c r="I159" s="6">
        <v>50</v>
      </c>
      <c r="J159" s="6">
        <v>75</v>
      </c>
      <c r="K159" s="6">
        <v>0</v>
      </c>
      <c r="L159" s="6">
        <v>25</v>
      </c>
      <c r="M159" s="6">
        <v>25</v>
      </c>
      <c r="N159" s="6">
        <v>25</v>
      </c>
      <c r="O159" s="6">
        <v>25</v>
      </c>
      <c r="P159" s="7">
        <v>0</v>
      </c>
      <c r="Q159" s="7">
        <v>25</v>
      </c>
      <c r="R159" s="7">
        <v>25</v>
      </c>
      <c r="S159" s="13">
        <v>0</v>
      </c>
      <c r="T159" s="15">
        <v>5.83</v>
      </c>
      <c r="U159" s="8">
        <f>IF(S159="",0,S159)*T159</f>
        <v>0</v>
      </c>
    </row>
    <row r="160" spans="1:21" x14ac:dyDescent="0.25">
      <c r="A160" s="9" t="s">
        <v>261</v>
      </c>
      <c r="B160" s="10"/>
      <c r="C160" s="11" t="s">
        <v>30</v>
      </c>
      <c r="D160" s="12">
        <v>18</v>
      </c>
      <c r="E160" s="12">
        <v>17</v>
      </c>
      <c r="F160" s="12">
        <v>6</v>
      </c>
      <c r="G160" s="12">
        <v>36</v>
      </c>
      <c r="H160" s="12">
        <v>40</v>
      </c>
      <c r="I160" s="12">
        <v>41</v>
      </c>
      <c r="J160" s="12">
        <v>33</v>
      </c>
      <c r="K160" s="12">
        <v>36</v>
      </c>
      <c r="L160" s="12">
        <v>17</v>
      </c>
      <c r="M160" s="12">
        <v>29</v>
      </c>
      <c r="N160" s="12">
        <v>23</v>
      </c>
      <c r="O160" s="12">
        <v>20</v>
      </c>
      <c r="P160" s="10"/>
      <c r="Q160" s="10"/>
      <c r="R160" s="10"/>
      <c r="S160" s="14"/>
      <c r="T160" s="14"/>
    </row>
    <row r="161" spans="1:21" x14ac:dyDescent="0.25">
      <c r="A161" s="3" t="s">
        <v>262</v>
      </c>
      <c r="B161" s="4" t="s">
        <v>263</v>
      </c>
      <c r="C161" s="5" t="s">
        <v>28</v>
      </c>
      <c r="D161" s="6">
        <v>50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50</v>
      </c>
      <c r="L161" s="6">
        <v>0</v>
      </c>
      <c r="M161" s="6">
        <v>0</v>
      </c>
      <c r="N161" s="6">
        <v>0</v>
      </c>
      <c r="O161" s="6">
        <v>0</v>
      </c>
      <c r="P161" s="7">
        <v>19</v>
      </c>
      <c r="Q161" s="7">
        <v>25</v>
      </c>
      <c r="R161" s="7">
        <v>0</v>
      </c>
      <c r="S161" s="13">
        <v>0</v>
      </c>
      <c r="T161" s="15">
        <v>3.49</v>
      </c>
      <c r="U161" s="8">
        <f>IF(S161="",0,S161)*T161</f>
        <v>0</v>
      </c>
    </row>
    <row r="162" spans="1:21" x14ac:dyDescent="0.25">
      <c r="A162" s="9" t="s">
        <v>264</v>
      </c>
      <c r="B162" s="10"/>
      <c r="C162" s="11" t="s">
        <v>30</v>
      </c>
      <c r="D162" s="12">
        <v>7</v>
      </c>
      <c r="E162" s="12">
        <v>5</v>
      </c>
      <c r="F162" s="12">
        <v>16</v>
      </c>
      <c r="G162" s="12">
        <v>9</v>
      </c>
      <c r="H162" s="12">
        <v>3</v>
      </c>
      <c r="I162" s="12">
        <v>4</v>
      </c>
      <c r="J162" s="12">
        <v>2</v>
      </c>
      <c r="K162" s="12">
        <v>5</v>
      </c>
      <c r="L162" s="12">
        <v>16</v>
      </c>
      <c r="M162" s="12">
        <v>10</v>
      </c>
      <c r="N162" s="12">
        <v>1</v>
      </c>
      <c r="O162" s="12">
        <v>3</v>
      </c>
      <c r="P162" s="10"/>
      <c r="Q162" s="10"/>
      <c r="R162" s="10"/>
      <c r="S162" s="14"/>
      <c r="T162" s="14"/>
    </row>
    <row r="163" spans="1:21" x14ac:dyDescent="0.25">
      <c r="A163" s="3" t="s">
        <v>265</v>
      </c>
      <c r="B163" s="4" t="s">
        <v>266</v>
      </c>
      <c r="C163" s="5" t="s">
        <v>28</v>
      </c>
      <c r="D163" s="6">
        <v>50</v>
      </c>
      <c r="E163" s="6">
        <v>0</v>
      </c>
      <c r="F163" s="6">
        <v>0</v>
      </c>
      <c r="G163" s="6">
        <v>25</v>
      </c>
      <c r="H163" s="6">
        <v>25</v>
      </c>
      <c r="I163" s="6">
        <v>50</v>
      </c>
      <c r="J163" s="6">
        <v>0</v>
      </c>
      <c r="K163" s="6">
        <v>25</v>
      </c>
      <c r="L163" s="6">
        <v>0</v>
      </c>
      <c r="M163" s="6">
        <v>25</v>
      </c>
      <c r="N163" s="6">
        <v>25</v>
      </c>
      <c r="O163" s="6">
        <v>0</v>
      </c>
      <c r="P163" s="7">
        <v>19</v>
      </c>
      <c r="Q163" s="7">
        <v>25</v>
      </c>
      <c r="R163" s="7">
        <v>0</v>
      </c>
      <c r="S163" s="13">
        <v>0</v>
      </c>
      <c r="T163" s="15">
        <v>5.8</v>
      </c>
      <c r="U163" s="8">
        <f>IF(S163="",0,S163)*T163</f>
        <v>0</v>
      </c>
    </row>
    <row r="164" spans="1:21" x14ac:dyDescent="0.25">
      <c r="A164" s="9" t="s">
        <v>267</v>
      </c>
      <c r="B164" s="10"/>
      <c r="C164" s="11" t="s">
        <v>30</v>
      </c>
      <c r="D164" s="12">
        <v>3</v>
      </c>
      <c r="E164" s="12">
        <v>4</v>
      </c>
      <c r="F164" s="12">
        <v>25</v>
      </c>
      <c r="G164" s="12">
        <v>28</v>
      </c>
      <c r="H164" s="12">
        <v>33</v>
      </c>
      <c r="I164" s="12">
        <v>19</v>
      </c>
      <c r="J164" s="12">
        <v>17</v>
      </c>
      <c r="K164" s="12">
        <v>16</v>
      </c>
      <c r="L164" s="12">
        <v>19</v>
      </c>
      <c r="M164" s="12">
        <v>21</v>
      </c>
      <c r="N164" s="12">
        <v>8</v>
      </c>
      <c r="O164" s="12">
        <v>13</v>
      </c>
      <c r="P164" s="10"/>
      <c r="Q164" s="10"/>
      <c r="R164" s="10"/>
      <c r="S164" s="14"/>
      <c r="T164" s="14"/>
    </row>
    <row r="165" spans="1:21" x14ac:dyDescent="0.25">
      <c r="A165" s="3" t="s">
        <v>268</v>
      </c>
      <c r="B165" s="4" t="s">
        <v>269</v>
      </c>
      <c r="C165" s="5" t="s">
        <v>28</v>
      </c>
      <c r="D165" s="6">
        <v>12</v>
      </c>
      <c r="E165" s="6">
        <v>0</v>
      </c>
      <c r="F165" s="6">
        <v>0</v>
      </c>
      <c r="G165" s="6">
        <v>12</v>
      </c>
      <c r="H165" s="6">
        <v>0</v>
      </c>
      <c r="I165" s="6">
        <v>0</v>
      </c>
      <c r="J165" s="6">
        <v>12</v>
      </c>
      <c r="K165" s="6">
        <v>0</v>
      </c>
      <c r="L165" s="6">
        <v>12</v>
      </c>
      <c r="M165" s="6">
        <v>0</v>
      </c>
      <c r="N165" s="6">
        <v>0</v>
      </c>
      <c r="O165" s="6">
        <v>0</v>
      </c>
      <c r="P165" s="7">
        <v>7</v>
      </c>
      <c r="Q165" s="7">
        <v>12</v>
      </c>
      <c r="R165" s="7">
        <v>0</v>
      </c>
      <c r="S165" s="13">
        <v>0</v>
      </c>
      <c r="T165" s="15">
        <v>9.8000000000000007</v>
      </c>
      <c r="U165" s="8">
        <f>IF(S165="",0,S165)*T165</f>
        <v>0</v>
      </c>
    </row>
    <row r="166" spans="1:21" x14ac:dyDescent="0.25">
      <c r="A166" s="9" t="s">
        <v>270</v>
      </c>
      <c r="B166" s="10"/>
      <c r="C166" s="11" t="s">
        <v>30</v>
      </c>
      <c r="D166" s="12">
        <v>1</v>
      </c>
      <c r="E166" s="12">
        <v>5</v>
      </c>
      <c r="F166" s="12">
        <v>5</v>
      </c>
      <c r="G166" s="12">
        <v>7</v>
      </c>
      <c r="H166" s="12">
        <v>2</v>
      </c>
      <c r="I166" s="12">
        <v>2</v>
      </c>
      <c r="J166" s="12">
        <v>5</v>
      </c>
      <c r="K166" s="12">
        <v>3</v>
      </c>
      <c r="L166" s="12">
        <v>2</v>
      </c>
      <c r="M166" s="12">
        <v>2</v>
      </c>
      <c r="N166" s="12">
        <v>3</v>
      </c>
      <c r="O166" s="12">
        <v>4</v>
      </c>
      <c r="P166" s="10"/>
      <c r="Q166" s="10"/>
      <c r="R166" s="10"/>
      <c r="S166" s="14"/>
      <c r="T166" s="14"/>
    </row>
    <row r="167" spans="1:21" x14ac:dyDescent="0.25">
      <c r="A167" s="3" t="s">
        <v>271</v>
      </c>
      <c r="B167" s="4" t="s">
        <v>272</v>
      </c>
      <c r="C167" s="5" t="s">
        <v>28</v>
      </c>
      <c r="D167" s="6">
        <v>0</v>
      </c>
      <c r="E167" s="6">
        <v>0</v>
      </c>
      <c r="F167" s="6">
        <v>72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7">
        <v>0</v>
      </c>
      <c r="Q167" s="7">
        <v>24</v>
      </c>
      <c r="R167" s="7">
        <v>0</v>
      </c>
      <c r="S167" s="13">
        <v>0</v>
      </c>
      <c r="T167" s="15">
        <v>3.8</v>
      </c>
      <c r="U167" s="8">
        <f>IF(S167="",0,S167)*T167</f>
        <v>0</v>
      </c>
    </row>
    <row r="168" spans="1:21" x14ac:dyDescent="0.25">
      <c r="A168" s="9" t="s">
        <v>273</v>
      </c>
      <c r="B168" s="10"/>
      <c r="C168" s="11" t="s">
        <v>30</v>
      </c>
      <c r="D168" s="12">
        <v>6</v>
      </c>
      <c r="E168" s="12">
        <v>7</v>
      </c>
      <c r="F168" s="12">
        <v>47</v>
      </c>
      <c r="G168" s="12">
        <v>3</v>
      </c>
      <c r="H168" s="12">
        <v>4</v>
      </c>
      <c r="I168" s="12">
        <v>9</v>
      </c>
      <c r="J168" s="12">
        <v>7</v>
      </c>
      <c r="K168" s="12">
        <v>0</v>
      </c>
      <c r="L168" s="12">
        <v>3</v>
      </c>
      <c r="M168" s="12">
        <v>1</v>
      </c>
      <c r="N168" s="12">
        <v>2</v>
      </c>
      <c r="O168" s="12">
        <v>5</v>
      </c>
      <c r="P168" s="10"/>
      <c r="Q168" s="10"/>
      <c r="R168" s="10"/>
      <c r="S168" s="14"/>
      <c r="T168" s="14"/>
    </row>
    <row r="169" spans="1:21" x14ac:dyDescent="0.25">
      <c r="A169" s="3" t="s">
        <v>274</v>
      </c>
      <c r="B169" s="4" t="s">
        <v>275</v>
      </c>
      <c r="C169" s="5" t="s">
        <v>28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60</v>
      </c>
      <c r="N169" s="6">
        <v>0</v>
      </c>
      <c r="O169" s="6">
        <v>0</v>
      </c>
      <c r="P169" s="7">
        <v>11</v>
      </c>
      <c r="Q169" s="7">
        <v>12</v>
      </c>
      <c r="R169" s="7">
        <v>0</v>
      </c>
      <c r="S169" s="13">
        <v>0</v>
      </c>
      <c r="T169" s="15">
        <v>7.49</v>
      </c>
      <c r="U169" s="8">
        <f>IF(S169="",0,S169)*T169</f>
        <v>0</v>
      </c>
    </row>
    <row r="170" spans="1:21" x14ac:dyDescent="0.25">
      <c r="A170" s="9" t="s">
        <v>276</v>
      </c>
      <c r="B170" s="10"/>
      <c r="C170" s="11" t="s">
        <v>30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43</v>
      </c>
      <c r="O170" s="12">
        <v>6</v>
      </c>
      <c r="P170" s="10"/>
      <c r="Q170" s="10"/>
      <c r="R170" s="10"/>
      <c r="S170" s="14"/>
      <c r="T170" s="14"/>
    </row>
    <row r="171" spans="1:21" x14ac:dyDescent="0.25">
      <c r="A171" s="3" t="s">
        <v>277</v>
      </c>
      <c r="B171" s="4" t="s">
        <v>278</v>
      </c>
      <c r="C171" s="5" t="s">
        <v>28</v>
      </c>
      <c r="D171" s="6">
        <v>0</v>
      </c>
      <c r="E171" s="6">
        <v>0</v>
      </c>
      <c r="F171" s="6">
        <v>192</v>
      </c>
      <c r="G171" s="6">
        <v>0</v>
      </c>
      <c r="H171" s="6">
        <v>0</v>
      </c>
      <c r="I171" s="6">
        <v>0</v>
      </c>
      <c r="J171" s="6">
        <v>24</v>
      </c>
      <c r="K171" s="6">
        <v>24</v>
      </c>
      <c r="L171" s="6">
        <v>0</v>
      </c>
      <c r="M171" s="6">
        <v>0</v>
      </c>
      <c r="N171" s="6">
        <v>0</v>
      </c>
      <c r="O171" s="6">
        <v>0</v>
      </c>
      <c r="P171" s="7">
        <v>17</v>
      </c>
      <c r="Q171" s="7">
        <v>12</v>
      </c>
      <c r="R171" s="7">
        <v>0</v>
      </c>
      <c r="S171" s="13">
        <v>0</v>
      </c>
      <c r="T171" s="15">
        <v>3.75</v>
      </c>
      <c r="U171" s="8">
        <f>IF(S171="",0,S171)*T171</f>
        <v>0</v>
      </c>
    </row>
    <row r="172" spans="1:21" x14ac:dyDescent="0.25">
      <c r="A172" s="9" t="s">
        <v>279</v>
      </c>
      <c r="B172" s="10"/>
      <c r="C172" s="11" t="s">
        <v>30</v>
      </c>
      <c r="D172" s="12">
        <v>0</v>
      </c>
      <c r="E172" s="12">
        <v>0</v>
      </c>
      <c r="F172" s="12">
        <v>104</v>
      </c>
      <c r="G172" s="12">
        <v>63</v>
      </c>
      <c r="H172" s="12">
        <v>3</v>
      </c>
      <c r="I172" s="12">
        <v>12</v>
      </c>
      <c r="J172" s="12">
        <v>8</v>
      </c>
      <c r="K172" s="12">
        <v>10</v>
      </c>
      <c r="L172" s="12">
        <v>0</v>
      </c>
      <c r="M172" s="12">
        <v>10</v>
      </c>
      <c r="N172" s="12">
        <v>5</v>
      </c>
      <c r="O172" s="12">
        <v>8</v>
      </c>
      <c r="P172" s="10"/>
      <c r="Q172" s="10"/>
      <c r="R172" s="10"/>
      <c r="S172" s="14"/>
      <c r="T172" s="14"/>
    </row>
    <row r="173" spans="1:21" x14ac:dyDescent="0.25">
      <c r="A173" s="3" t="s">
        <v>280</v>
      </c>
      <c r="B173" s="4" t="s">
        <v>281</v>
      </c>
      <c r="C173" s="5" t="s">
        <v>28</v>
      </c>
      <c r="D173" s="6">
        <v>0</v>
      </c>
      <c r="E173" s="6">
        <v>0</v>
      </c>
      <c r="F173" s="6">
        <v>168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7">
        <v>12</v>
      </c>
      <c r="Q173" s="7">
        <v>24</v>
      </c>
      <c r="R173" s="7">
        <v>0</v>
      </c>
      <c r="S173" s="13">
        <v>0</v>
      </c>
      <c r="T173" s="15">
        <v>3.74</v>
      </c>
      <c r="U173" s="8">
        <f>IF(S173="",0,S173)*T173</f>
        <v>0</v>
      </c>
    </row>
    <row r="174" spans="1:21" x14ac:dyDescent="0.25">
      <c r="A174" s="9" t="s">
        <v>282</v>
      </c>
      <c r="B174" s="10"/>
      <c r="C174" s="11" t="s">
        <v>30</v>
      </c>
      <c r="D174" s="12">
        <v>0</v>
      </c>
      <c r="E174" s="12">
        <v>0</v>
      </c>
      <c r="F174" s="12">
        <v>133</v>
      </c>
      <c r="G174" s="12">
        <v>4</v>
      </c>
      <c r="H174" s="12">
        <v>2</v>
      </c>
      <c r="I174" s="12">
        <v>2</v>
      </c>
      <c r="J174" s="12">
        <v>0</v>
      </c>
      <c r="K174" s="12">
        <v>3</v>
      </c>
      <c r="L174" s="12">
        <v>7</v>
      </c>
      <c r="M174" s="12">
        <v>0</v>
      </c>
      <c r="N174" s="12">
        <v>4</v>
      </c>
      <c r="O174" s="12">
        <v>1</v>
      </c>
      <c r="P174" s="10"/>
      <c r="Q174" s="10"/>
      <c r="R174" s="10"/>
      <c r="S174" s="14"/>
      <c r="T174" s="14"/>
    </row>
    <row r="175" spans="1:21" x14ac:dyDescent="0.25">
      <c r="A175" s="3" t="s">
        <v>283</v>
      </c>
      <c r="B175" s="4" t="s">
        <v>284</v>
      </c>
      <c r="C175" s="5" t="s">
        <v>28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24</v>
      </c>
      <c r="M175" s="6">
        <v>0</v>
      </c>
      <c r="N175" s="6">
        <v>0</v>
      </c>
      <c r="O175" s="6">
        <v>0</v>
      </c>
      <c r="P175" s="7">
        <v>0</v>
      </c>
      <c r="Q175" s="7">
        <v>12</v>
      </c>
      <c r="R175" s="7">
        <v>0</v>
      </c>
      <c r="S175" s="13">
        <v>0</v>
      </c>
      <c r="T175" s="15">
        <v>3.99</v>
      </c>
      <c r="U175" s="8">
        <f>IF(S175="",0,S175)*T175</f>
        <v>0</v>
      </c>
    </row>
    <row r="176" spans="1:21" x14ac:dyDescent="0.25">
      <c r="A176" s="9" t="s">
        <v>285</v>
      </c>
      <c r="B176" s="10"/>
      <c r="C176" s="11" t="s">
        <v>30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13</v>
      </c>
      <c r="M176" s="12">
        <v>11</v>
      </c>
      <c r="N176" s="12">
        <v>0</v>
      </c>
      <c r="O176" s="12">
        <v>0</v>
      </c>
      <c r="P176" s="10"/>
      <c r="Q176" s="10"/>
      <c r="R176" s="10"/>
      <c r="S176" s="14"/>
      <c r="T176" s="14"/>
    </row>
  </sheetData>
  <mergeCells count="187">
    <mergeCell ref="T175:T176"/>
    <mergeCell ref="S161:S162"/>
    <mergeCell ref="T127:T128"/>
    <mergeCell ref="S17:S18"/>
    <mergeCell ref="S77:S78"/>
    <mergeCell ref="T103:T104"/>
    <mergeCell ref="J2:M2"/>
    <mergeCell ref="G3:O3"/>
    <mergeCell ref="T59:T60"/>
    <mergeCell ref="S145:S146"/>
    <mergeCell ref="S67:S68"/>
    <mergeCell ref="S19:S20"/>
    <mergeCell ref="T167:T168"/>
    <mergeCell ref="T61:T62"/>
    <mergeCell ref="S9:S10"/>
    <mergeCell ref="S69:S70"/>
    <mergeCell ref="T89:T90"/>
    <mergeCell ref="T129:T130"/>
    <mergeCell ref="T141:T142"/>
    <mergeCell ref="S171:S172"/>
    <mergeCell ref="S53:S54"/>
    <mergeCell ref="S5:S6"/>
    <mergeCell ref="S133:S134"/>
    <mergeCell ref="T51:T52"/>
    <mergeCell ref="A1:T1"/>
    <mergeCell ref="T71:T72"/>
    <mergeCell ref="T123:T124"/>
    <mergeCell ref="S13:S14"/>
    <mergeCell ref="T113:T114"/>
    <mergeCell ref="T85:T86"/>
    <mergeCell ref="S15:S16"/>
    <mergeCell ref="A2:E2"/>
    <mergeCell ref="P3:P4"/>
    <mergeCell ref="R3:R4"/>
    <mergeCell ref="S79:S80"/>
    <mergeCell ref="T99:T100"/>
    <mergeCell ref="T19:T20"/>
    <mergeCell ref="T77:T78"/>
    <mergeCell ref="S63:S64"/>
    <mergeCell ref="T67:T68"/>
    <mergeCell ref="S95:S96"/>
    <mergeCell ref="T33:T34"/>
    <mergeCell ref="T5:T6"/>
    <mergeCell ref="T53:T54"/>
    <mergeCell ref="T47:T48"/>
    <mergeCell ref="A3:A4"/>
    <mergeCell ref="S99:S100"/>
    <mergeCell ref="S55:S56"/>
    <mergeCell ref="S173:S174"/>
    <mergeCell ref="S11:S12"/>
    <mergeCell ref="T45:T46"/>
    <mergeCell ref="T57:T58"/>
    <mergeCell ref="T97:T98"/>
    <mergeCell ref="S105:S106"/>
    <mergeCell ref="S43:S44"/>
    <mergeCell ref="T137:T138"/>
    <mergeCell ref="T29:T30"/>
    <mergeCell ref="S27:S28"/>
    <mergeCell ref="T65:T66"/>
    <mergeCell ref="T121:T122"/>
    <mergeCell ref="S93:S94"/>
    <mergeCell ref="S155:S156"/>
    <mergeCell ref="S107:S108"/>
    <mergeCell ref="S101:S102"/>
    <mergeCell ref="T139:T140"/>
    <mergeCell ref="S135:S136"/>
    <mergeCell ref="S159:S160"/>
    <mergeCell ref="T125:T126"/>
    <mergeCell ref="S127:S128"/>
    <mergeCell ref="T153:T154"/>
    <mergeCell ref="T131:T132"/>
    <mergeCell ref="S151:S152"/>
    <mergeCell ref="S175:S176"/>
    <mergeCell ref="T117:T118"/>
    <mergeCell ref="T173:T174"/>
    <mergeCell ref="T17:T18"/>
    <mergeCell ref="D3:F3"/>
    <mergeCell ref="T55:T56"/>
    <mergeCell ref="S37:S38"/>
    <mergeCell ref="T69:T70"/>
    <mergeCell ref="S97:S98"/>
    <mergeCell ref="S103:S104"/>
    <mergeCell ref="T163:T164"/>
    <mergeCell ref="S87:S88"/>
    <mergeCell ref="T119:T120"/>
    <mergeCell ref="S65:S66"/>
    <mergeCell ref="T159:T160"/>
    <mergeCell ref="T109:T110"/>
    <mergeCell ref="T3:T4"/>
    <mergeCell ref="S89:S90"/>
    <mergeCell ref="S129:S130"/>
    <mergeCell ref="T149:T150"/>
    <mergeCell ref="T31:T32"/>
    <mergeCell ref="T111:T112"/>
    <mergeCell ref="S51:S52"/>
    <mergeCell ref="S113:S114"/>
    <mergeCell ref="B3:B4"/>
    <mergeCell ref="T147:T148"/>
    <mergeCell ref="S117:S118"/>
    <mergeCell ref="T83:T84"/>
    <mergeCell ref="S111:S112"/>
    <mergeCell ref="S169:S170"/>
    <mergeCell ref="S7:S8"/>
    <mergeCell ref="T171:T172"/>
    <mergeCell ref="T9:T10"/>
    <mergeCell ref="S39:S40"/>
    <mergeCell ref="S131:S132"/>
    <mergeCell ref="T145:T146"/>
    <mergeCell ref="S153:S154"/>
    <mergeCell ref="C3:C4"/>
    <mergeCell ref="T37:T38"/>
    <mergeCell ref="T95:T96"/>
    <mergeCell ref="S41:S42"/>
    <mergeCell ref="T151:T152"/>
    <mergeCell ref="S121:S122"/>
    <mergeCell ref="S115:S116"/>
    <mergeCell ref="T23:T24"/>
    <mergeCell ref="S147:S148"/>
    <mergeCell ref="T115:T116"/>
    <mergeCell ref="T155:T156"/>
    <mergeCell ref="N2:T2"/>
    <mergeCell ref="S139:S140"/>
    <mergeCell ref="T15:T16"/>
    <mergeCell ref="T27:T28"/>
    <mergeCell ref="S35:S36"/>
    <mergeCell ref="S75:S76"/>
    <mergeCell ref="T161:T162"/>
    <mergeCell ref="Q3:Q4"/>
    <mergeCell ref="S25:S26"/>
    <mergeCell ref="S3:S4"/>
    <mergeCell ref="S59:S60"/>
    <mergeCell ref="S85:S86"/>
    <mergeCell ref="T91:T92"/>
    <mergeCell ref="S125:S126"/>
    <mergeCell ref="T63:T64"/>
    <mergeCell ref="S149:S150"/>
    <mergeCell ref="S61:S62"/>
    <mergeCell ref="S45:S46"/>
    <mergeCell ref="S119:S120"/>
    <mergeCell ref="T105:T106"/>
    <mergeCell ref="T43:T44"/>
    <mergeCell ref="S29:S30"/>
    <mergeCell ref="T157:T158"/>
    <mergeCell ref="T39:T40"/>
    <mergeCell ref="S123:S124"/>
    <mergeCell ref="T169:T170"/>
    <mergeCell ref="T13:T14"/>
    <mergeCell ref="T107:T108"/>
    <mergeCell ref="T7:T8"/>
    <mergeCell ref="S33:S34"/>
    <mergeCell ref="T75:T76"/>
    <mergeCell ref="S91:S92"/>
    <mergeCell ref="S143:S144"/>
    <mergeCell ref="S167:S168"/>
    <mergeCell ref="S163:S164"/>
    <mergeCell ref="S109:S110"/>
    <mergeCell ref="S47:S48"/>
    <mergeCell ref="S21:S22"/>
    <mergeCell ref="S165:S166"/>
    <mergeCell ref="S81:S82"/>
    <mergeCell ref="T49:T50"/>
    <mergeCell ref="T101:T102"/>
    <mergeCell ref="S31:S32"/>
    <mergeCell ref="S71:S72"/>
    <mergeCell ref="T165:T166"/>
    <mergeCell ref="T143:T144"/>
    <mergeCell ref="T87:T88"/>
    <mergeCell ref="F2:H2"/>
    <mergeCell ref="S73:S74"/>
    <mergeCell ref="T35:T36"/>
    <mergeCell ref="T93:T94"/>
    <mergeCell ref="T133:T134"/>
    <mergeCell ref="S23:S24"/>
    <mergeCell ref="S57:S58"/>
    <mergeCell ref="T25:T26"/>
    <mergeCell ref="S137:S138"/>
    <mergeCell ref="T21:T22"/>
    <mergeCell ref="T79:T80"/>
    <mergeCell ref="T135:T136"/>
    <mergeCell ref="T73:T74"/>
    <mergeCell ref="S157:S158"/>
    <mergeCell ref="T41:T42"/>
    <mergeCell ref="S49:S50"/>
    <mergeCell ref="T81:T82"/>
    <mergeCell ref="T11:T12"/>
    <mergeCell ref="S83:S84"/>
    <mergeCell ref="S141:S1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2026-09-28T16:12:29Z</dcterms:created>
  <dcterms:modified xsi:type="dcterms:W3CDTF">2026-09-28T16:13:18Z</dcterms:modified>
</cp:coreProperties>
</file>