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7C1CB988-EDBA-404B-AE78-A5E766AF6CE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245" i="1" l="1"/>
  <c r="U242" i="1"/>
  <c r="U239" i="1"/>
  <c r="U236" i="1"/>
  <c r="U233" i="1"/>
  <c r="U230" i="1"/>
  <c r="U227" i="1"/>
  <c r="U224" i="1"/>
  <c r="U221" i="1"/>
  <c r="U218" i="1"/>
  <c r="U215" i="1"/>
  <c r="U212" i="1"/>
  <c r="U209" i="1"/>
  <c r="U206" i="1"/>
  <c r="U203" i="1"/>
  <c r="U200" i="1"/>
  <c r="U197" i="1"/>
  <c r="U194" i="1"/>
  <c r="U191" i="1"/>
  <c r="U188" i="1"/>
  <c r="U185" i="1"/>
  <c r="U182" i="1"/>
  <c r="U179" i="1"/>
  <c r="U176" i="1"/>
  <c r="U173" i="1"/>
  <c r="U170" i="1"/>
  <c r="U167" i="1"/>
  <c r="U164" i="1"/>
  <c r="U161" i="1"/>
  <c r="U158" i="1"/>
  <c r="U155" i="1"/>
  <c r="U152" i="1"/>
  <c r="U149" i="1"/>
  <c r="U146" i="1"/>
  <c r="U143" i="1"/>
  <c r="U140" i="1"/>
  <c r="U137" i="1"/>
  <c r="U134" i="1"/>
  <c r="U131" i="1"/>
  <c r="U128" i="1"/>
  <c r="U125" i="1"/>
  <c r="U122" i="1"/>
  <c r="U119" i="1"/>
  <c r="U116" i="1"/>
  <c r="U113" i="1"/>
  <c r="U110" i="1"/>
  <c r="U107" i="1"/>
  <c r="U104" i="1"/>
  <c r="U101" i="1"/>
  <c r="U98" i="1"/>
  <c r="U95" i="1"/>
  <c r="U92" i="1"/>
  <c r="U89" i="1"/>
  <c r="U86" i="1"/>
  <c r="U83" i="1"/>
  <c r="U80" i="1"/>
  <c r="U77" i="1"/>
  <c r="U74" i="1"/>
  <c r="U71" i="1"/>
  <c r="U68" i="1"/>
  <c r="U65" i="1"/>
  <c r="U62" i="1"/>
  <c r="U59" i="1"/>
  <c r="U56" i="1"/>
  <c r="U53" i="1"/>
  <c r="U50" i="1"/>
  <c r="U47" i="1"/>
  <c r="U44" i="1"/>
  <c r="U41" i="1"/>
  <c r="U38" i="1"/>
  <c r="U35" i="1"/>
  <c r="U32" i="1"/>
  <c r="U29" i="1"/>
  <c r="N2" i="1" s="1"/>
  <c r="U26" i="1"/>
  <c r="U23" i="1"/>
  <c r="U20" i="1"/>
  <c r="U17" i="1"/>
  <c r="U14" i="1"/>
  <c r="U11" i="1"/>
  <c r="U8" i="1"/>
  <c r="U5" i="1"/>
</calcChain>
</file>

<file path=xl/sharedStrings.xml><?xml version="1.0" encoding="utf-8"?>
<sst xmlns="http://schemas.openxmlformats.org/spreadsheetml/2006/main" count="511" uniqueCount="271">
  <si>
    <t>COTAÇÃO — SUPERMERCADO SZ</t>
  </si>
  <si>
    <t>Mês: SET/2026</t>
  </si>
  <si>
    <t>Total de produtos:</t>
  </si>
  <si>
    <t>Valor total estimado:</t>
  </si>
  <si>
    <t>COD</t>
  </si>
  <si>
    <t>PRODUTO</t>
  </si>
  <si>
    <t>E/S/A</t>
  </si>
  <si>
    <t>2025</t>
  </si>
  <si>
    <t>2026</t>
  </si>
  <si>
    <t>CX</t>
  </si>
  <si>
    <t>ESTOQUE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</si>
  <si>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</si>
  <si>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</si>
  <si>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</si>
  <si>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</si>
  <si>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</si>
  <si>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</si>
  <si>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</si>
  <si>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</si>
  <si>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</si>
  <si>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</si>
  <si>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</si>
  <si>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</si>
  <si>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</si>
  <si>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</si>
  <si>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34976</t>
  </si>
  <si>
    <t>ALBUM  FIGURINHAS PANINI FIFA COPA 2026</t>
  </si>
  <si>
    <t>E</t>
  </si>
  <si>
    <t>9786555165753</t>
  </si>
  <si>
    <t>S</t>
  </si>
  <si>
    <t>A</t>
  </si>
  <si>
    <t>13456</t>
  </si>
  <si>
    <t>ASSADEIRA MARINEX RET 5L C/TAMPA</t>
  </si>
  <si>
    <t>7894993171907</t>
  </si>
  <si>
    <t>35042</t>
  </si>
  <si>
    <t>BISNAGA P/MOLHO SORT UNITER</t>
  </si>
  <si>
    <t>7898663745108</t>
  </si>
  <si>
    <t>31671</t>
  </si>
  <si>
    <t>CAIXA TERMICA UNITERMI FLORIPA 30L AZUL</t>
  </si>
  <si>
    <t>7898955019634</t>
  </si>
  <si>
    <t>20773</t>
  </si>
  <si>
    <t>CANECA VIDRO ASPEN NADIR  300ML</t>
  </si>
  <si>
    <t>7891155029809</t>
  </si>
  <si>
    <t>8769</t>
  </si>
  <si>
    <t>CHUVEIRO LORENZETTI MAXI DUCHA 4600W220V</t>
  </si>
  <si>
    <t>7896451824790</t>
  </si>
  <si>
    <t>6468</t>
  </si>
  <si>
    <t>COLA GEL SUPER BONDER 2GR SM POWER FLEX</t>
  </si>
  <si>
    <t>7891200012572</t>
  </si>
  <si>
    <t>3478</t>
  </si>
  <si>
    <t>COLA SUPER BONDER 5G</t>
  </si>
  <si>
    <t>7891200234257</t>
  </si>
  <si>
    <t>22026</t>
  </si>
  <si>
    <t>COLA THREE BONDSUPER GEL 3G</t>
  </si>
  <si>
    <t>7896020470472</t>
  </si>
  <si>
    <t>6318</t>
  </si>
  <si>
    <t>COLHER DESC STRAWPLAST 50UN CRISTAL FEST</t>
  </si>
  <si>
    <t>7898202616210</t>
  </si>
  <si>
    <t>8973</t>
  </si>
  <si>
    <t>COLHER DESC STRAWPLAST REFEICAO 50UN</t>
  </si>
  <si>
    <t>7898202616036</t>
  </si>
  <si>
    <t>10054</t>
  </si>
  <si>
    <t>CONJ COPO NADIR 1X6  GINGA 265ML</t>
  </si>
  <si>
    <t>7891155025115</t>
  </si>
  <si>
    <t>10056</t>
  </si>
  <si>
    <t>CONJ COPO NADIR 1X6  MARACATU 265ML</t>
  </si>
  <si>
    <t>7891155017608</t>
  </si>
  <si>
    <t>10053</t>
  </si>
  <si>
    <t>CONJ COPO NADIR 1X6 LAGUNA 265ML</t>
  </si>
  <si>
    <t>7891155033677</t>
  </si>
  <si>
    <t>25882</t>
  </si>
  <si>
    <t>CONJ COPO NADIR 6X1 ZUMBA</t>
  </si>
  <si>
    <t>7891155065814</t>
  </si>
  <si>
    <t>6145</t>
  </si>
  <si>
    <t>COPO AMERICANO SIMPLES</t>
  </si>
  <si>
    <t>13352</t>
  </si>
  <si>
    <t>13647</t>
  </si>
  <si>
    <t>COPO DESC COPOBRAS 180ML PP 100UNID</t>
  </si>
  <si>
    <t>7896030892646</t>
  </si>
  <si>
    <t>10297</t>
  </si>
  <si>
    <t>COPO DESC COPOBRAS 200ML PP CRIS 100UNID</t>
  </si>
  <si>
    <t>7896030892660</t>
  </si>
  <si>
    <t>21051</t>
  </si>
  <si>
    <t>COPO DESC COPOBRAS 50ML 100UNID BCO</t>
  </si>
  <si>
    <t>7896030800528</t>
  </si>
  <si>
    <t>9157</t>
  </si>
  <si>
    <t>COPO DESC CRISTAL 200ML AGUA PS TRAN</t>
  </si>
  <si>
    <t>7898939720082</t>
  </si>
  <si>
    <t>26481</t>
  </si>
  <si>
    <t>COPO DESC CRISTALCOPO 200ML BRANCO</t>
  </si>
  <si>
    <t>7898939720075</t>
  </si>
  <si>
    <t>28321</t>
  </si>
  <si>
    <t>COPO DESC CRISTALCOPO 300ML AGUA PS TRAN</t>
  </si>
  <si>
    <t>7898939720105</t>
  </si>
  <si>
    <t>3261</t>
  </si>
  <si>
    <t>COPO DESC TERMOPOT 80ML 100UN PS TRANS</t>
  </si>
  <si>
    <t>7898901478423</t>
  </si>
  <si>
    <t>23707</t>
  </si>
  <si>
    <t>COPO NADIR DOSE BAR 45ML</t>
  </si>
  <si>
    <t>7891155002604</t>
  </si>
  <si>
    <t>1029</t>
  </si>
  <si>
    <t>DESENGRIPANTE WHITE LUB 300ML ANTI FERR</t>
  </si>
  <si>
    <t>7898314110118</t>
  </si>
  <si>
    <t>9493</t>
  </si>
  <si>
    <t>DESENTUPIDOR P/PIA DIABO VERDE 300G</t>
  </si>
  <si>
    <t>7896495000129</t>
  </si>
  <si>
    <t>8188</t>
  </si>
  <si>
    <t>ESCOVA P/LAVAR CONDOR CABO MADEIRA REF 1</t>
  </si>
  <si>
    <t>7891055111604</t>
  </si>
  <si>
    <t>10029</t>
  </si>
  <si>
    <t>ESCOVA P/LAVAR CONDOR DE MAO REF 1121</t>
  </si>
  <si>
    <t>7891055112106</t>
  </si>
  <si>
    <t>3429</t>
  </si>
  <si>
    <t>ESCOVA P/SAPATO CONDOR REF 01</t>
  </si>
  <si>
    <t>7891055525104</t>
  </si>
  <si>
    <t>18445</t>
  </si>
  <si>
    <t>ESPELHO LARANJA N16</t>
  </si>
  <si>
    <t>7898337040041</t>
  </si>
  <si>
    <t>22675</t>
  </si>
  <si>
    <t>ESPETO BAMBU PARANA 50UN</t>
  </si>
  <si>
    <t>7896080900643</t>
  </si>
  <si>
    <t>7031</t>
  </si>
  <si>
    <t>ESPONJA MULTIUSO BRILHUS BETTANIN</t>
  </si>
  <si>
    <t>7896001004511</t>
  </si>
  <si>
    <t>34975</t>
  </si>
  <si>
    <t>FIGURINHAS FIFA WORLD CUP 2026</t>
  </si>
  <si>
    <t>7897653549146</t>
  </si>
  <si>
    <t>5261</t>
  </si>
  <si>
    <t>FILME PVC BOREDA 30 METROS LARG 28 CM</t>
  </si>
  <si>
    <t>7897384700397</t>
  </si>
  <si>
    <t>16106</t>
  </si>
  <si>
    <t>FILME PVC LUSAFILME R105 30MTSX28CM</t>
  </si>
  <si>
    <t>7898287710025</t>
  </si>
  <si>
    <t>3390</t>
  </si>
  <si>
    <t>FOSFORO FIAT LUX CASAFIAT LUX</t>
  </si>
  <si>
    <t>7896007942213</t>
  </si>
  <si>
    <t>22670</t>
  </si>
  <si>
    <t>FOSFORO PARANA 200UN LONGOS</t>
  </si>
  <si>
    <t>7896080920054</t>
  </si>
  <si>
    <t>14480</t>
  </si>
  <si>
    <t>GARRAFA TERM 1L MUNDIAL AZUL</t>
  </si>
  <si>
    <t>7891023027005</t>
  </si>
  <si>
    <t>14482</t>
  </si>
  <si>
    <t>GARRAFA TERM 1L MUNDIAL VERMELHA</t>
  </si>
  <si>
    <t>7891023547299</t>
  </si>
  <si>
    <t>5270</t>
  </si>
  <si>
    <t>GUARD SANTEPEL PEQ 24X22CM C/50UN</t>
  </si>
  <si>
    <t>7896110083254</t>
  </si>
  <si>
    <t>26428</t>
  </si>
  <si>
    <t>GUARDANAPO COQUETEL 21,5X23CM 50UN</t>
  </si>
  <si>
    <t>7896301800028</t>
  </si>
  <si>
    <t>26421</t>
  </si>
  <si>
    <t>GUARDANAPO FLORAX 50UN 22X20CM PREMIUM</t>
  </si>
  <si>
    <t>7898933061303</t>
  </si>
  <si>
    <t>18734</t>
  </si>
  <si>
    <t>GUARDANAPO SCOTT GRAND HOTEL JANTAR 50UN</t>
  </si>
  <si>
    <t>7891172151323</t>
  </si>
  <si>
    <t>16127</t>
  </si>
  <si>
    <t>LAMPADA HALOGENA KIAN 42W</t>
  </si>
  <si>
    <t>7898495149556</t>
  </si>
  <si>
    <t>34656</t>
  </si>
  <si>
    <t>LAMPADA LED LEDVANCE 9W</t>
  </si>
  <si>
    <t>4058075783904</t>
  </si>
  <si>
    <t>30608</t>
  </si>
  <si>
    <t>LAMPADA LED OUROLUX SUPERLED 4,7W</t>
  </si>
  <si>
    <t>7898324005138</t>
  </si>
  <si>
    <t>17259</t>
  </si>
  <si>
    <t>LAMPADA LED OUROLUX SUPERLED 9W</t>
  </si>
  <si>
    <t>7898324005176</t>
  </si>
  <si>
    <t>1136</t>
  </si>
  <si>
    <t>LAVA AUTO POLITRIZ 500ML</t>
  </si>
  <si>
    <t>7896440500865</t>
  </si>
  <si>
    <t>3342</t>
  </si>
  <si>
    <t>PA DE LIXO CONDOR REF 1506/1507</t>
  </si>
  <si>
    <t>7891055150726</t>
  </si>
  <si>
    <t>22684</t>
  </si>
  <si>
    <t>PALITO DENTE PARANA C/ MENTA 250UN</t>
  </si>
  <si>
    <t>7896080900070</t>
  </si>
  <si>
    <t>3283</t>
  </si>
  <si>
    <t>PANELA DE PRESSAO PANELUX 4,5L</t>
  </si>
  <si>
    <t>7898147771029</t>
  </si>
  <si>
    <t>26451</t>
  </si>
  <si>
    <t>PAPEL ALUMINIO WYDA 4 METROS X 30CM</t>
  </si>
  <si>
    <t>7898933283170</t>
  </si>
  <si>
    <t>8972</t>
  </si>
  <si>
    <t>PAPEL MANTEIGA BOREDA 7,5MTS X30CM</t>
  </si>
  <si>
    <t>7897384700731</t>
  </si>
  <si>
    <t>34637</t>
  </si>
  <si>
    <t>PAPEL TOALHA COQUETEL C/2UN</t>
  </si>
  <si>
    <t>7896061997600</t>
  </si>
  <si>
    <t>34557</t>
  </si>
  <si>
    <t>PAPEL TOALHA FLORAX PRATIC C/2UN</t>
  </si>
  <si>
    <t>7898920699625</t>
  </si>
  <si>
    <t>3250</t>
  </si>
  <si>
    <t>PAPEL TOALHA MAXIM STYLUS 2X50 FOLHAS</t>
  </si>
  <si>
    <t>7896026800754</t>
  </si>
  <si>
    <t>29037</t>
  </si>
  <si>
    <t>PENEIRA GRANDE STARLUX REF 613</t>
  </si>
  <si>
    <t>7896725306137</t>
  </si>
  <si>
    <t>3679</t>
  </si>
  <si>
    <t>PILHA ALCALINA AA RAYOVAC 2X1 SM</t>
  </si>
  <si>
    <t>7896009728013</t>
  </si>
  <si>
    <t>9314</t>
  </si>
  <si>
    <t>PILHA ALCALINA AAA DURACELL 2UN SM</t>
  </si>
  <si>
    <t>41333001074</t>
  </si>
  <si>
    <t>13016</t>
  </si>
  <si>
    <t>PILHA ALCALINA AAA DURACELL PAL 2UN</t>
  </si>
  <si>
    <t>41333431482</t>
  </si>
  <si>
    <t>3680</t>
  </si>
  <si>
    <t>PILHA ALCALINA AAA PALITO RAYOVAC 2X1SM</t>
  </si>
  <si>
    <t>7896009724015</t>
  </si>
  <si>
    <t>22316</t>
  </si>
  <si>
    <t>PILHA ALCALINA AAA4 EVEREADY GOLD 4UN</t>
  </si>
  <si>
    <t>8888021201475</t>
  </si>
  <si>
    <t>22315</t>
  </si>
  <si>
    <t>PILHA EVEREADY GOLD ALC AAA 2UN</t>
  </si>
  <si>
    <t>8888021201468</t>
  </si>
  <si>
    <t>3683</t>
  </si>
  <si>
    <t>PILHA RAYOVAC AMARELA PQ AA 4UN</t>
  </si>
  <si>
    <t>7896009718113</t>
  </si>
  <si>
    <t>11253</t>
  </si>
  <si>
    <t>PRATO DESC COPOBRAS 17 5 10UN PS BR</t>
  </si>
  <si>
    <t>7896030800184</t>
  </si>
  <si>
    <t>8130</t>
  </si>
  <si>
    <t>PRATO DESC TERMOPOT 15CM 10UN</t>
  </si>
  <si>
    <t>7898901478225</t>
  </si>
  <si>
    <t>23952</t>
  </si>
  <si>
    <t>PRATO DURALEX 22,4CM PRIMAVERA NADIR</t>
  </si>
  <si>
    <t>7891155043867</t>
  </si>
  <si>
    <t>8947</t>
  </si>
  <si>
    <t>PRATO NADIR PETALA FUNDO UN</t>
  </si>
  <si>
    <t>7891155037880</t>
  </si>
  <si>
    <t>14138</t>
  </si>
  <si>
    <t>PRATO NADIR PETALA SBM UN 19CM</t>
  </si>
  <si>
    <t>7891155037866</t>
  </si>
  <si>
    <t>3638</t>
  </si>
  <si>
    <t>PRENDEDOR DE ROUPA GINA MADEIRA GD</t>
  </si>
  <si>
    <t>7896051099918</t>
  </si>
  <si>
    <t>21405</t>
  </si>
  <si>
    <t>RATOEIRA ADESIVA KELLMAT</t>
  </si>
  <si>
    <t>7898374662794</t>
  </si>
  <si>
    <t>6733</t>
  </si>
  <si>
    <t>REGULADOR P/GAS VINIGAS COMP C\MANG</t>
  </si>
  <si>
    <t>7898100081042</t>
  </si>
  <si>
    <t>19666</t>
  </si>
  <si>
    <t>SACO P/LIXO BOMLIXO BANHEIRO 40UN</t>
  </si>
  <si>
    <t>7898903480134</t>
  </si>
  <si>
    <t>10101</t>
  </si>
  <si>
    <t>SACO P/LIXO LEV FORT 100L 5UN PRETO</t>
  </si>
  <si>
    <t>7898903480127</t>
  </si>
  <si>
    <t>32612</t>
  </si>
  <si>
    <t>SACO P/LIXO LEV FORT 30L 10UN PRETO</t>
  </si>
  <si>
    <t>7898903480103</t>
  </si>
  <si>
    <t>10095</t>
  </si>
  <si>
    <t>SACO P/LIXO LEV FORT 50L 10UN PRETO</t>
  </si>
  <si>
    <t>7898903480110</t>
  </si>
  <si>
    <t>21180</t>
  </si>
  <si>
    <t>SILICONE GEL POLITRIZ 230G</t>
  </si>
  <si>
    <t>7898575691999</t>
  </si>
  <si>
    <t>21931</t>
  </si>
  <si>
    <t>TACA J701 BUFFET VINHO 260ML</t>
  </si>
  <si>
    <t>7891155059738</t>
  </si>
  <si>
    <t>35142</t>
  </si>
  <si>
    <t>TACA NADIR 490ML BUBBLE RAVENA</t>
  </si>
  <si>
    <t>7891155676911</t>
  </si>
  <si>
    <t>21932</t>
  </si>
  <si>
    <t>TACA SM BUFFET CHAMPANHE UN</t>
  </si>
  <si>
    <t>7891155059608</t>
  </si>
  <si>
    <t>30533</t>
  </si>
  <si>
    <t>XICARA DE CHA NADIR DIAMANTE 233ML</t>
  </si>
  <si>
    <t>7891155036289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</si>
</sst>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CE4B6"/>
      </patternFill>
    </fill>
    <fill>
      <patternFill patternType="solid">
        <fgColor rgb="FFFAE3B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EF9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7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0" fillId="0" borderId="0" xfId="0" applyNumberFormat="1"/>
    <xf numFmtId="0" fontId="6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7"/>
  <sheetViews>
    <sheetView tabSelected="1" workbookViewId="0">
      <pane xSplit="3" ySplit="4" topLeftCell="E34" activePane="bottomRight" state="frozen"/>
      <selection pane="topRight"/>
      <selection pane="bottomLeft"/>
      <selection pane="bottomRight" activeCell="R50" sqref="R50:R52"/>
    </sheetView>
  </sheetViews>
  <sheetFormatPr defaultRowHeight="15" x14ac:dyDescent="0.25"/>
  <cols>
    <col min="1" max="1" width="12" customWidth="1"/>
    <col min="2" max="2" width="43" customWidth="1"/>
    <col min="3" max="3" width="6" customWidth="1"/>
    <col min="4" max="15" width="8" customWidth="1"/>
    <col min="16" max="16" width="6" customWidth="1"/>
    <col min="17" max="17" width="10" customWidth="1"/>
    <col min="18" max="19" width="12" customWidth="1"/>
    <col min="21" max="21" width="12" hidden="1" customWidth="1"/>
  </cols>
  <sheetData>
    <row r="1" spans="1:21" ht="27.95" customHeight="1" x14ac:dyDescent="0.25">
      <c r="A1" s="24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21" ht="21.95" customHeight="1" x14ac:dyDescent="0.25">
      <c r="A2" s="22" t="s">
        <v>1</v>
      </c>
      <c r="B2" s="16"/>
      <c r="C2" s="16"/>
      <c r="D2" s="16"/>
      <c r="E2" s="16"/>
      <c r="F2" s="23" t="s">
        <v>2</v>
      </c>
      <c r="G2" s="16"/>
      <c r="H2" s="16"/>
      <c r="I2" s="1">
        <v>81</v>
      </c>
      <c r="J2" s="23" t="s">
        <v>3</v>
      </c>
      <c r="K2" s="16"/>
      <c r="L2" s="16"/>
      <c r="M2" s="16"/>
      <c r="N2" s="25">
        <f>IFERROR(SUMPRODUCT(U3:U100000),0)</f>
        <v>1547.7119489999998</v>
      </c>
      <c r="O2" s="16"/>
      <c r="P2" s="16"/>
      <c r="Q2" s="16"/>
      <c r="R2" s="16"/>
      <c r="S2" s="16"/>
    </row>
    <row r="3" spans="1:21" ht="18" customHeight="1" x14ac:dyDescent="0.25">
      <c r="A3" s="21" t="s">
        <v>4</v>
      </c>
      <c r="B3" s="21" t="s">
        <v>5</v>
      </c>
      <c r="C3" s="21" t="s">
        <v>6</v>
      </c>
      <c r="D3" s="21" t="s">
        <v>7</v>
      </c>
      <c r="E3" s="21"/>
      <c r="F3" s="21"/>
      <c r="G3" s="21" t="s">
        <v>8</v>
      </c>
      <c r="H3" s="21"/>
      <c r="I3" s="21"/>
      <c r="J3" s="21"/>
      <c r="K3" s="21"/>
      <c r="L3" s="21"/>
      <c r="M3" s="21"/>
      <c r="N3" s="21"/>
      <c r="O3" s="21"/>
      <c r="P3" s="21" t="s">
        <v>9</v>
      </c>
      <c r="Q3" s="21" t="s">
        <v>10</v>
      </c>
      <c r="R3" s="21" t="s">
        <v>11</v>
      </c>
      <c r="S3" s="21" t="s">
        <v>12</v>
      </c>
    </row>
    <row r="4" spans="1:21" ht="20.100000000000001" customHeight="1" x14ac:dyDescent="0.25">
      <c r="A4" s="21"/>
      <c r="B4" s="21"/>
      <c r="C4" s="21"/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  <c r="M4" s="2" t="s">
        <v>22</v>
      </c>
      <c r="N4" s="2" t="s">
        <v>23</v>
      </c>
      <c r="O4" s="2" t="s">
        <v>24</v>
      </c>
      <c r="P4" s="21"/>
      <c r="Q4" s="21"/>
      <c r="R4" s="21"/>
      <c r="S4" s="21"/>
    </row>
    <row r="5" spans="1:21" x14ac:dyDescent="0.25">
      <c r="A5" s="3" t="s">
        <v>25</v>
      </c>
      <c r="B5" s="4" t="s">
        <v>26</v>
      </c>
      <c r="C5" s="5" t="s">
        <v>27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20</v>
      </c>
      <c r="L5" s="6">
        <v>0</v>
      </c>
      <c r="M5" s="6">
        <v>0</v>
      </c>
      <c r="N5" s="6">
        <v>0</v>
      </c>
      <c r="O5" s="6">
        <v>0</v>
      </c>
      <c r="P5" s="18">
        <v>20</v>
      </c>
      <c r="Q5" s="19">
        <v>0</v>
      </c>
      <c r="R5" s="15">
        <v>0</v>
      </c>
      <c r="S5" s="20">
        <v>21.0075</v>
      </c>
      <c r="U5" s="7">
        <f>IF(R5="",0,R5)*S5</f>
        <v>0</v>
      </c>
    </row>
    <row r="6" spans="1:21" x14ac:dyDescent="0.25">
      <c r="A6" s="8" t="s">
        <v>28</v>
      </c>
      <c r="B6" s="9"/>
      <c r="C6" s="10" t="s">
        <v>29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3</v>
      </c>
      <c r="L6" s="11">
        <v>17</v>
      </c>
      <c r="M6" s="11">
        <v>0</v>
      </c>
      <c r="N6" s="11">
        <v>0</v>
      </c>
      <c r="O6" s="11">
        <v>0</v>
      </c>
      <c r="P6" s="16"/>
      <c r="Q6" s="16"/>
      <c r="R6" s="16"/>
      <c r="S6" s="16"/>
    </row>
    <row r="7" spans="1:21" x14ac:dyDescent="0.25">
      <c r="A7" s="12"/>
      <c r="B7" s="12"/>
      <c r="C7" s="13" t="s">
        <v>30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7"/>
      <c r="Q7" s="17"/>
      <c r="R7" s="17"/>
      <c r="S7" s="17"/>
    </row>
    <row r="8" spans="1:21" x14ac:dyDescent="0.25">
      <c r="A8" s="3" t="s">
        <v>31</v>
      </c>
      <c r="B8" s="4" t="s">
        <v>32</v>
      </c>
      <c r="C8" s="5" t="s">
        <v>27</v>
      </c>
      <c r="D8" s="6">
        <v>0</v>
      </c>
      <c r="E8" s="6">
        <v>0</v>
      </c>
      <c r="F8" s="6">
        <v>124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18">
        <v>124</v>
      </c>
      <c r="Q8" s="19">
        <v>43</v>
      </c>
      <c r="R8" s="15">
        <v>0</v>
      </c>
      <c r="S8" s="20">
        <v>33.2575</v>
      </c>
      <c r="U8" s="7">
        <f>IF(R8="",0,R8)*S8</f>
        <v>0</v>
      </c>
    </row>
    <row r="9" spans="1:21" x14ac:dyDescent="0.25">
      <c r="A9" s="8" t="s">
        <v>33</v>
      </c>
      <c r="B9" s="9"/>
      <c r="C9" s="10" t="s">
        <v>29</v>
      </c>
      <c r="D9" s="11">
        <v>0</v>
      </c>
      <c r="E9" s="11">
        <v>2</v>
      </c>
      <c r="F9" s="11">
        <v>57</v>
      </c>
      <c r="G9" s="11">
        <v>1</v>
      </c>
      <c r="H9" s="11">
        <v>1</v>
      </c>
      <c r="I9" s="11">
        <v>5</v>
      </c>
      <c r="J9" s="11">
        <v>4</v>
      </c>
      <c r="K9" s="11">
        <v>8</v>
      </c>
      <c r="L9" s="11">
        <v>2</v>
      </c>
      <c r="M9" s="11">
        <v>0</v>
      </c>
      <c r="N9" s="11">
        <v>3</v>
      </c>
      <c r="O9" s="11">
        <v>0</v>
      </c>
      <c r="P9" s="16"/>
      <c r="Q9" s="16"/>
      <c r="R9" s="16"/>
      <c r="S9" s="16"/>
    </row>
    <row r="10" spans="1:21" x14ac:dyDescent="0.25">
      <c r="A10" s="12"/>
      <c r="B10" s="12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7"/>
      <c r="Q10" s="17"/>
      <c r="R10" s="17"/>
      <c r="S10" s="17"/>
    </row>
    <row r="11" spans="1:21" x14ac:dyDescent="0.25">
      <c r="A11" s="3" t="s">
        <v>34</v>
      </c>
      <c r="B11" s="4" t="s">
        <v>35</v>
      </c>
      <c r="C11" s="5" t="s">
        <v>27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24</v>
      </c>
      <c r="M11" s="6">
        <v>0</v>
      </c>
      <c r="N11" s="6">
        <v>0</v>
      </c>
      <c r="O11" s="6">
        <v>0</v>
      </c>
      <c r="P11" s="18">
        <v>24</v>
      </c>
      <c r="Q11" s="19">
        <v>5</v>
      </c>
      <c r="R11" s="15">
        <v>24</v>
      </c>
      <c r="S11" s="20">
        <v>2.78</v>
      </c>
      <c r="U11" s="7">
        <f>IF(R11="",0,R11)*S11</f>
        <v>66.72</v>
      </c>
    </row>
    <row r="12" spans="1:21" x14ac:dyDescent="0.25">
      <c r="A12" s="8" t="s">
        <v>36</v>
      </c>
      <c r="B12" s="9"/>
      <c r="C12" s="10" t="s">
        <v>29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1</v>
      </c>
      <c r="M12" s="11">
        <v>10</v>
      </c>
      <c r="N12" s="11">
        <v>3</v>
      </c>
      <c r="O12" s="11">
        <v>5</v>
      </c>
      <c r="P12" s="16"/>
      <c r="Q12" s="16"/>
      <c r="R12" s="16"/>
      <c r="S12" s="16"/>
    </row>
    <row r="13" spans="1:21" x14ac:dyDescent="0.25">
      <c r="A13" s="12"/>
      <c r="B13" s="12"/>
      <c r="C13" s="13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7"/>
      <c r="Q13" s="17"/>
      <c r="R13" s="17"/>
      <c r="S13" s="17"/>
    </row>
    <row r="14" spans="1:21" x14ac:dyDescent="0.25">
      <c r="A14" s="3" t="s">
        <v>37</v>
      </c>
      <c r="B14" s="4" t="s">
        <v>38</v>
      </c>
      <c r="C14" s="5" t="s">
        <v>27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3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18">
        <v>3</v>
      </c>
      <c r="Q14" s="19">
        <v>1</v>
      </c>
      <c r="R14" s="15">
        <v>3</v>
      </c>
      <c r="S14" s="20">
        <v>72.995615000000001</v>
      </c>
      <c r="U14" s="7">
        <f>IF(R14="",0,R14)*S14</f>
        <v>218.98684500000002</v>
      </c>
    </row>
    <row r="15" spans="1:21" x14ac:dyDescent="0.25">
      <c r="A15" s="8" t="s">
        <v>39</v>
      </c>
      <c r="B15" s="9"/>
      <c r="C15" s="10" t="s">
        <v>29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1</v>
      </c>
      <c r="M15" s="11">
        <v>0</v>
      </c>
      <c r="N15" s="11">
        <v>0</v>
      </c>
      <c r="O15" s="11">
        <v>1</v>
      </c>
      <c r="P15" s="16"/>
      <c r="Q15" s="16"/>
      <c r="R15" s="16"/>
      <c r="S15" s="16"/>
    </row>
    <row r="16" spans="1:21" x14ac:dyDescent="0.25">
      <c r="A16" s="12"/>
      <c r="B16" s="12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7"/>
      <c r="Q16" s="17"/>
      <c r="R16" s="17"/>
      <c r="S16" s="17"/>
    </row>
    <row r="17" spans="1:21" x14ac:dyDescent="0.25">
      <c r="A17" s="3" t="s">
        <v>40</v>
      </c>
      <c r="B17" s="4" t="s">
        <v>41</v>
      </c>
      <c r="C17" s="5" t="s">
        <v>27</v>
      </c>
      <c r="D17" s="6">
        <v>0</v>
      </c>
      <c r="E17" s="6">
        <v>0</v>
      </c>
      <c r="F17" s="6">
        <v>24</v>
      </c>
      <c r="G17" s="6">
        <v>0</v>
      </c>
      <c r="H17" s="6">
        <v>0</v>
      </c>
      <c r="I17" s="6">
        <v>0</v>
      </c>
      <c r="J17" s="6">
        <v>0</v>
      </c>
      <c r="K17" s="6">
        <v>24</v>
      </c>
      <c r="L17" s="6">
        <v>0</v>
      </c>
      <c r="M17" s="6">
        <v>0</v>
      </c>
      <c r="N17" s="6">
        <v>0</v>
      </c>
      <c r="O17" s="6">
        <v>0</v>
      </c>
      <c r="P17" s="18">
        <v>24</v>
      </c>
      <c r="Q17" s="19">
        <v>12</v>
      </c>
      <c r="R17" s="15">
        <v>0</v>
      </c>
      <c r="S17" s="20">
        <v>5.9366669999999999</v>
      </c>
      <c r="U17" s="7">
        <f>IF(R17="",0,R17)*S17</f>
        <v>0</v>
      </c>
    </row>
    <row r="18" spans="1:21" x14ac:dyDescent="0.25">
      <c r="A18" s="8" t="s">
        <v>42</v>
      </c>
      <c r="B18" s="9"/>
      <c r="C18" s="10" t="s">
        <v>29</v>
      </c>
      <c r="D18" s="11">
        <v>4</v>
      </c>
      <c r="E18" s="11">
        <v>3</v>
      </c>
      <c r="F18" s="11">
        <v>10</v>
      </c>
      <c r="G18" s="11">
        <v>2</v>
      </c>
      <c r="H18" s="11">
        <v>2</v>
      </c>
      <c r="I18" s="11">
        <v>2</v>
      </c>
      <c r="J18" s="11">
        <v>5</v>
      </c>
      <c r="K18" s="11">
        <v>2</v>
      </c>
      <c r="L18" s="11">
        <v>7</v>
      </c>
      <c r="M18" s="11">
        <v>3</v>
      </c>
      <c r="N18" s="11">
        <v>2</v>
      </c>
      <c r="O18" s="11">
        <v>1</v>
      </c>
      <c r="P18" s="16"/>
      <c r="Q18" s="16"/>
      <c r="R18" s="16"/>
      <c r="S18" s="16"/>
    </row>
    <row r="19" spans="1:21" x14ac:dyDescent="0.25">
      <c r="A19" s="12"/>
      <c r="B19" s="12"/>
      <c r="C19" s="13" t="s">
        <v>30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7"/>
      <c r="Q19" s="17"/>
      <c r="R19" s="17"/>
      <c r="S19" s="17"/>
    </row>
    <row r="20" spans="1:21" x14ac:dyDescent="0.25">
      <c r="A20" s="3" t="s">
        <v>43</v>
      </c>
      <c r="B20" s="4" t="s">
        <v>44</v>
      </c>
      <c r="C20" s="5" t="s">
        <v>27</v>
      </c>
      <c r="D20" s="6">
        <v>6</v>
      </c>
      <c r="E20" s="6">
        <v>0</v>
      </c>
      <c r="F20" s="6">
        <v>6</v>
      </c>
      <c r="G20" s="6">
        <v>0</v>
      </c>
      <c r="H20" s="6">
        <v>6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18">
        <v>6</v>
      </c>
      <c r="Q20" s="19">
        <v>0</v>
      </c>
      <c r="R20" s="15">
        <v>6</v>
      </c>
      <c r="S20" s="20">
        <v>59.4</v>
      </c>
      <c r="U20" s="7">
        <f>IF(R20="",0,R20)*S20</f>
        <v>356.4</v>
      </c>
    </row>
    <row r="21" spans="1:21" x14ac:dyDescent="0.25">
      <c r="A21" s="8" t="s">
        <v>45</v>
      </c>
      <c r="B21" s="9"/>
      <c r="C21" s="10" t="s">
        <v>29</v>
      </c>
      <c r="D21" s="11">
        <v>3</v>
      </c>
      <c r="E21" s="11">
        <v>1</v>
      </c>
      <c r="F21" s="11">
        <v>8</v>
      </c>
      <c r="G21" s="11">
        <v>0</v>
      </c>
      <c r="H21" s="11">
        <v>0</v>
      </c>
      <c r="I21" s="11">
        <v>1</v>
      </c>
      <c r="J21" s="11">
        <v>1</v>
      </c>
      <c r="K21" s="11">
        <v>1</v>
      </c>
      <c r="L21" s="11">
        <v>3</v>
      </c>
      <c r="M21" s="11">
        <v>0</v>
      </c>
      <c r="N21" s="11">
        <v>0</v>
      </c>
      <c r="O21" s="11">
        <v>0</v>
      </c>
      <c r="P21" s="16"/>
      <c r="Q21" s="16"/>
      <c r="R21" s="16"/>
      <c r="S21" s="16"/>
    </row>
    <row r="22" spans="1:21" x14ac:dyDescent="0.25">
      <c r="A22" s="12"/>
      <c r="B22" s="12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7"/>
      <c r="Q22" s="17"/>
      <c r="R22" s="17"/>
      <c r="S22" s="17"/>
    </row>
    <row r="23" spans="1:21" x14ac:dyDescent="0.25">
      <c r="A23" s="3" t="s">
        <v>46</v>
      </c>
      <c r="B23" s="4" t="s">
        <v>47</v>
      </c>
      <c r="C23" s="5" t="s">
        <v>27</v>
      </c>
      <c r="D23" s="6">
        <v>0</v>
      </c>
      <c r="E23" s="6">
        <v>24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24</v>
      </c>
      <c r="M23" s="6">
        <v>0</v>
      </c>
      <c r="N23" s="6">
        <v>0</v>
      </c>
      <c r="O23" s="6">
        <v>0</v>
      </c>
      <c r="P23" s="18">
        <v>24</v>
      </c>
      <c r="Q23" s="19">
        <v>10</v>
      </c>
      <c r="R23" s="15">
        <v>24</v>
      </c>
      <c r="S23" s="20">
        <v>5.1247959999999999</v>
      </c>
      <c r="U23" s="7">
        <f>IF(R23="",0,R23)*S23</f>
        <v>122.995104</v>
      </c>
    </row>
    <row r="24" spans="1:21" x14ac:dyDescent="0.25">
      <c r="A24" s="8" t="s">
        <v>48</v>
      </c>
      <c r="B24" s="9"/>
      <c r="C24" s="10" t="s">
        <v>29</v>
      </c>
      <c r="D24" s="11">
        <v>2</v>
      </c>
      <c r="E24" s="11">
        <v>3</v>
      </c>
      <c r="F24" s="11">
        <v>4</v>
      </c>
      <c r="G24" s="11">
        <v>4</v>
      </c>
      <c r="H24" s="11">
        <v>3</v>
      </c>
      <c r="I24" s="11">
        <v>1</v>
      </c>
      <c r="J24" s="11">
        <v>4</v>
      </c>
      <c r="K24" s="11">
        <v>3</v>
      </c>
      <c r="L24" s="11">
        <v>5</v>
      </c>
      <c r="M24" s="11">
        <v>4</v>
      </c>
      <c r="N24" s="11">
        <v>6</v>
      </c>
      <c r="O24" s="11">
        <v>1</v>
      </c>
      <c r="P24" s="16"/>
      <c r="Q24" s="16"/>
      <c r="R24" s="16"/>
      <c r="S24" s="16"/>
    </row>
    <row r="25" spans="1:21" x14ac:dyDescent="0.25">
      <c r="A25" s="12"/>
      <c r="B25" s="12"/>
      <c r="C25" s="13" t="s">
        <v>30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7"/>
      <c r="Q25" s="17"/>
      <c r="R25" s="17"/>
      <c r="S25" s="17"/>
    </row>
    <row r="26" spans="1:21" x14ac:dyDescent="0.25">
      <c r="A26" s="3" t="s">
        <v>49</v>
      </c>
      <c r="B26" s="4" t="s">
        <v>50</v>
      </c>
      <c r="C26" s="5" t="s">
        <v>27</v>
      </c>
      <c r="D26" s="6">
        <v>24</v>
      </c>
      <c r="E26" s="6">
        <v>0</v>
      </c>
      <c r="F26" s="6">
        <v>0</v>
      </c>
      <c r="G26" s="6">
        <v>0</v>
      </c>
      <c r="H26" s="6">
        <v>24</v>
      </c>
      <c r="I26" s="6">
        <v>0</v>
      </c>
      <c r="J26" s="6">
        <v>0</v>
      </c>
      <c r="K26" s="6">
        <v>24</v>
      </c>
      <c r="L26" s="6">
        <v>0</v>
      </c>
      <c r="M26" s="6">
        <v>24</v>
      </c>
      <c r="N26" s="6">
        <v>0</v>
      </c>
      <c r="O26" s="6">
        <v>0</v>
      </c>
      <c r="P26" s="18">
        <v>24</v>
      </c>
      <c r="Q26" s="19">
        <v>8</v>
      </c>
      <c r="R26" s="15">
        <v>24</v>
      </c>
      <c r="S26" s="20">
        <v>6.21875</v>
      </c>
      <c r="U26" s="7">
        <f>IF(R26="",0,R26)*S26</f>
        <v>149.25</v>
      </c>
    </row>
    <row r="27" spans="1:21" x14ac:dyDescent="0.25">
      <c r="A27" s="8" t="s">
        <v>51</v>
      </c>
      <c r="B27" s="9"/>
      <c r="C27" s="10" t="s">
        <v>29</v>
      </c>
      <c r="D27" s="11">
        <v>7</v>
      </c>
      <c r="E27" s="11">
        <v>9</v>
      </c>
      <c r="F27" s="11">
        <v>6</v>
      </c>
      <c r="G27" s="11">
        <v>4</v>
      </c>
      <c r="H27" s="11">
        <v>5</v>
      </c>
      <c r="I27" s="11">
        <v>9</v>
      </c>
      <c r="J27" s="11">
        <v>11</v>
      </c>
      <c r="K27" s="11">
        <v>13</v>
      </c>
      <c r="L27" s="11">
        <v>14</v>
      </c>
      <c r="M27" s="11">
        <v>4</v>
      </c>
      <c r="N27" s="11">
        <v>7</v>
      </c>
      <c r="O27" s="11">
        <v>5</v>
      </c>
      <c r="P27" s="16"/>
      <c r="Q27" s="16"/>
      <c r="R27" s="16"/>
      <c r="S27" s="16"/>
    </row>
    <row r="28" spans="1:21" x14ac:dyDescent="0.25">
      <c r="A28" s="12"/>
      <c r="B28" s="12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7"/>
      <c r="Q28" s="17"/>
      <c r="R28" s="17"/>
      <c r="S28" s="17"/>
    </row>
    <row r="29" spans="1:21" x14ac:dyDescent="0.25">
      <c r="A29" s="3" t="s">
        <v>52</v>
      </c>
      <c r="B29" s="4" t="s">
        <v>53</v>
      </c>
      <c r="C29" s="5" t="s">
        <v>27</v>
      </c>
      <c r="D29" s="6">
        <v>0</v>
      </c>
      <c r="E29" s="6">
        <v>0</v>
      </c>
      <c r="F29" s="6">
        <v>0</v>
      </c>
      <c r="G29" s="6">
        <v>24</v>
      </c>
      <c r="H29" s="6">
        <v>0</v>
      </c>
      <c r="I29" s="6">
        <v>0</v>
      </c>
      <c r="J29" s="6">
        <v>0</v>
      </c>
      <c r="K29" s="6">
        <v>24</v>
      </c>
      <c r="L29" s="6">
        <v>0</v>
      </c>
      <c r="M29" s="6">
        <v>24</v>
      </c>
      <c r="N29" s="6">
        <v>0</v>
      </c>
      <c r="O29" s="6">
        <v>0</v>
      </c>
      <c r="P29" s="18">
        <v>24</v>
      </c>
      <c r="Q29" s="19">
        <v>2</v>
      </c>
      <c r="R29" s="15">
        <v>24</v>
      </c>
      <c r="S29" s="20">
        <v>1.59</v>
      </c>
      <c r="U29" s="7">
        <f>IF(R29="",0,R29)*S29</f>
        <v>38.160000000000004</v>
      </c>
    </row>
    <row r="30" spans="1:21" x14ac:dyDescent="0.25">
      <c r="A30" s="8" t="s">
        <v>54</v>
      </c>
      <c r="B30" s="9"/>
      <c r="C30" s="10" t="s">
        <v>29</v>
      </c>
      <c r="D30" s="11">
        <v>8</v>
      </c>
      <c r="E30" s="11">
        <v>6</v>
      </c>
      <c r="F30" s="11">
        <v>6</v>
      </c>
      <c r="G30" s="11">
        <v>8</v>
      </c>
      <c r="H30" s="11">
        <v>9</v>
      </c>
      <c r="I30" s="11">
        <v>10</v>
      </c>
      <c r="J30" s="11">
        <v>14</v>
      </c>
      <c r="K30" s="11">
        <v>7</v>
      </c>
      <c r="L30" s="11">
        <v>4</v>
      </c>
      <c r="M30" s="11">
        <v>10</v>
      </c>
      <c r="N30" s="11">
        <v>9</v>
      </c>
      <c r="O30" s="11">
        <v>16</v>
      </c>
      <c r="P30" s="16"/>
      <c r="Q30" s="16"/>
      <c r="R30" s="16"/>
      <c r="S30" s="16"/>
    </row>
    <row r="31" spans="1:21" x14ac:dyDescent="0.25">
      <c r="A31" s="12"/>
      <c r="B31" s="12"/>
      <c r="C31" s="13" t="s">
        <v>30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7"/>
      <c r="Q31" s="17"/>
      <c r="R31" s="17"/>
      <c r="S31" s="17"/>
    </row>
    <row r="32" spans="1:21" x14ac:dyDescent="0.25">
      <c r="A32" s="3" t="s">
        <v>55</v>
      </c>
      <c r="B32" s="4" t="s">
        <v>56</v>
      </c>
      <c r="C32" s="5" t="s">
        <v>27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20</v>
      </c>
      <c r="M32" s="6">
        <v>20</v>
      </c>
      <c r="N32" s="6">
        <v>0</v>
      </c>
      <c r="O32" s="6">
        <v>0</v>
      </c>
      <c r="P32" s="18">
        <v>20</v>
      </c>
      <c r="Q32" s="19">
        <v>13</v>
      </c>
      <c r="R32" s="15">
        <v>20</v>
      </c>
      <c r="S32" s="20">
        <v>2.92</v>
      </c>
      <c r="U32" s="7">
        <f>IF(R32="",0,R32)*S32</f>
        <v>58.4</v>
      </c>
    </row>
    <row r="33" spans="1:21" x14ac:dyDescent="0.25">
      <c r="A33" s="8" t="s">
        <v>57</v>
      </c>
      <c r="B33" s="9"/>
      <c r="C33" s="10" t="s">
        <v>29</v>
      </c>
      <c r="D33" s="11">
        <v>3</v>
      </c>
      <c r="E33" s="11">
        <v>3</v>
      </c>
      <c r="F33" s="11">
        <v>12</v>
      </c>
      <c r="G33" s="11">
        <v>1</v>
      </c>
      <c r="H33" s="11">
        <v>4</v>
      </c>
      <c r="I33" s="11">
        <v>1</v>
      </c>
      <c r="J33" s="11">
        <v>8</v>
      </c>
      <c r="K33" s="11">
        <v>3</v>
      </c>
      <c r="L33" s="11">
        <v>13</v>
      </c>
      <c r="M33" s="11">
        <v>4</v>
      </c>
      <c r="N33" s="11">
        <v>4</v>
      </c>
      <c r="O33" s="11">
        <v>6</v>
      </c>
      <c r="P33" s="16"/>
      <c r="Q33" s="16"/>
      <c r="R33" s="16"/>
      <c r="S33" s="16"/>
    </row>
    <row r="34" spans="1:21" x14ac:dyDescent="0.25">
      <c r="A34" s="12"/>
      <c r="B34" s="12"/>
      <c r="C34" s="13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7"/>
      <c r="Q34" s="17"/>
      <c r="R34" s="17"/>
      <c r="S34" s="17"/>
    </row>
    <row r="35" spans="1:21" x14ac:dyDescent="0.25">
      <c r="A35" s="3" t="s">
        <v>58</v>
      </c>
      <c r="B35" s="4" t="s">
        <v>59</v>
      </c>
      <c r="C35" s="5" t="s">
        <v>27</v>
      </c>
      <c r="D35" s="6">
        <v>20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20</v>
      </c>
      <c r="L35" s="6">
        <v>20</v>
      </c>
      <c r="M35" s="6">
        <v>20</v>
      </c>
      <c r="N35" s="6">
        <v>0</v>
      </c>
      <c r="O35" s="6">
        <v>20</v>
      </c>
      <c r="P35" s="18">
        <v>20</v>
      </c>
      <c r="Q35" s="19">
        <v>12</v>
      </c>
      <c r="R35" s="15">
        <v>20</v>
      </c>
      <c r="S35" s="20">
        <v>2.87</v>
      </c>
      <c r="U35" s="7">
        <f>IF(R35="",0,R35)*S35</f>
        <v>57.400000000000006</v>
      </c>
    </row>
    <row r="36" spans="1:21" x14ac:dyDescent="0.25">
      <c r="A36" s="8" t="s">
        <v>60</v>
      </c>
      <c r="B36" s="9"/>
      <c r="C36" s="10" t="s">
        <v>29</v>
      </c>
      <c r="D36" s="11">
        <v>0</v>
      </c>
      <c r="E36" s="11">
        <v>0</v>
      </c>
      <c r="F36" s="11">
        <v>15</v>
      </c>
      <c r="G36" s="11">
        <v>5</v>
      </c>
      <c r="H36" s="11">
        <v>6</v>
      </c>
      <c r="I36" s="11">
        <v>1</v>
      </c>
      <c r="J36" s="11">
        <v>3</v>
      </c>
      <c r="K36" s="11">
        <v>22</v>
      </c>
      <c r="L36" s="11">
        <v>16</v>
      </c>
      <c r="M36" s="11">
        <v>7</v>
      </c>
      <c r="N36" s="11">
        <v>10</v>
      </c>
      <c r="O36" s="11">
        <v>15</v>
      </c>
      <c r="P36" s="16"/>
      <c r="Q36" s="16"/>
      <c r="R36" s="16"/>
      <c r="S36" s="16"/>
    </row>
    <row r="37" spans="1:21" x14ac:dyDescent="0.25">
      <c r="A37" s="12"/>
      <c r="B37" s="12"/>
      <c r="C37" s="13" t="s">
        <v>30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7"/>
      <c r="Q37" s="17"/>
      <c r="R37" s="17"/>
      <c r="S37" s="17"/>
    </row>
    <row r="38" spans="1:21" x14ac:dyDescent="0.25">
      <c r="A38" s="3" t="s">
        <v>61</v>
      </c>
      <c r="B38" s="4" t="s">
        <v>62</v>
      </c>
      <c r="C38" s="5" t="s">
        <v>27</v>
      </c>
      <c r="D38" s="6">
        <v>0</v>
      </c>
      <c r="E38" s="6">
        <v>0</v>
      </c>
      <c r="F38" s="6">
        <v>0</v>
      </c>
      <c r="G38" s="6">
        <v>24</v>
      </c>
      <c r="H38" s="6">
        <v>0</v>
      </c>
      <c r="I38" s="6">
        <v>24</v>
      </c>
      <c r="J38" s="6">
        <v>0</v>
      </c>
      <c r="K38" s="6">
        <v>0</v>
      </c>
      <c r="L38" s="6">
        <v>0</v>
      </c>
      <c r="M38" s="6">
        <v>0</v>
      </c>
      <c r="N38" s="6">
        <v>24</v>
      </c>
      <c r="O38" s="6">
        <v>0</v>
      </c>
      <c r="P38" s="18">
        <v>24</v>
      </c>
      <c r="Q38" s="19">
        <v>17</v>
      </c>
      <c r="R38" s="15">
        <v>24</v>
      </c>
      <c r="S38" s="20">
        <v>7.99</v>
      </c>
      <c r="U38" s="7">
        <f>IF(R38="",0,R38)*S38</f>
        <v>191.76</v>
      </c>
    </row>
    <row r="39" spans="1:21" x14ac:dyDescent="0.25">
      <c r="A39" s="8" t="s">
        <v>63</v>
      </c>
      <c r="B39" s="9"/>
      <c r="C39" s="10" t="s">
        <v>29</v>
      </c>
      <c r="D39" s="11">
        <v>0</v>
      </c>
      <c r="E39" s="11">
        <v>0</v>
      </c>
      <c r="F39" s="11">
        <v>0</v>
      </c>
      <c r="G39" s="11">
        <v>1</v>
      </c>
      <c r="H39" s="11">
        <v>15</v>
      </c>
      <c r="I39" s="11">
        <v>4</v>
      </c>
      <c r="J39" s="11">
        <v>3</v>
      </c>
      <c r="K39" s="11">
        <v>9</v>
      </c>
      <c r="L39" s="11">
        <v>5</v>
      </c>
      <c r="M39" s="11">
        <v>2</v>
      </c>
      <c r="N39" s="11">
        <v>11</v>
      </c>
      <c r="O39" s="11">
        <v>5</v>
      </c>
      <c r="P39" s="16"/>
      <c r="Q39" s="16"/>
      <c r="R39" s="16"/>
      <c r="S39" s="16"/>
    </row>
    <row r="40" spans="1:21" x14ac:dyDescent="0.25">
      <c r="A40" s="12"/>
      <c r="B40" s="12"/>
      <c r="C40" s="13" t="s">
        <v>30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7"/>
      <c r="Q40" s="17"/>
      <c r="R40" s="17"/>
      <c r="S40" s="17"/>
    </row>
    <row r="41" spans="1:21" x14ac:dyDescent="0.25">
      <c r="A41" s="3" t="s">
        <v>64</v>
      </c>
      <c r="B41" s="4" t="s">
        <v>65</v>
      </c>
      <c r="C41" s="5" t="s">
        <v>27</v>
      </c>
      <c r="D41" s="6">
        <v>0</v>
      </c>
      <c r="E41" s="6">
        <v>0</v>
      </c>
      <c r="F41" s="6">
        <v>0</v>
      </c>
      <c r="G41" s="6">
        <v>48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16</v>
      </c>
      <c r="N41" s="6">
        <v>24</v>
      </c>
      <c r="O41" s="6">
        <v>0</v>
      </c>
      <c r="P41" s="18">
        <v>16</v>
      </c>
      <c r="Q41" s="19">
        <v>21</v>
      </c>
      <c r="R41" s="15">
        <v>0</v>
      </c>
      <c r="S41" s="20">
        <v>7.99</v>
      </c>
      <c r="U41" s="7">
        <f>IF(R41="",0,R41)*S41</f>
        <v>0</v>
      </c>
    </row>
    <row r="42" spans="1:21" x14ac:dyDescent="0.25">
      <c r="A42" s="8" t="s">
        <v>66</v>
      </c>
      <c r="B42" s="9"/>
      <c r="C42" s="10" t="s">
        <v>29</v>
      </c>
      <c r="D42" s="11">
        <v>2</v>
      </c>
      <c r="E42" s="11">
        <v>0</v>
      </c>
      <c r="F42" s="11">
        <v>1</v>
      </c>
      <c r="G42" s="11">
        <v>6</v>
      </c>
      <c r="H42" s="11">
        <v>18</v>
      </c>
      <c r="I42" s="11">
        <v>11</v>
      </c>
      <c r="J42" s="11">
        <v>2</v>
      </c>
      <c r="K42" s="11">
        <v>7</v>
      </c>
      <c r="L42" s="11">
        <v>1</v>
      </c>
      <c r="M42" s="11">
        <v>7</v>
      </c>
      <c r="N42" s="11">
        <v>13</v>
      </c>
      <c r="O42" s="11">
        <v>2</v>
      </c>
      <c r="P42" s="16"/>
      <c r="Q42" s="16"/>
      <c r="R42" s="16"/>
      <c r="S42" s="16"/>
    </row>
    <row r="43" spans="1:21" x14ac:dyDescent="0.25">
      <c r="A43" s="12"/>
      <c r="B43" s="12"/>
      <c r="C43" s="13" t="s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7"/>
      <c r="Q43" s="17"/>
      <c r="R43" s="17"/>
      <c r="S43" s="17"/>
    </row>
    <row r="44" spans="1:21" x14ac:dyDescent="0.25">
      <c r="A44" s="3" t="s">
        <v>67</v>
      </c>
      <c r="B44" s="4" t="s">
        <v>68</v>
      </c>
      <c r="C44" s="5" t="s">
        <v>27</v>
      </c>
      <c r="D44" s="6">
        <v>0</v>
      </c>
      <c r="E44" s="6">
        <v>0</v>
      </c>
      <c r="F44" s="6">
        <v>0</v>
      </c>
      <c r="G44" s="6">
        <v>36</v>
      </c>
      <c r="H44" s="6">
        <v>0</v>
      </c>
      <c r="I44" s="6">
        <v>0</v>
      </c>
      <c r="J44" s="6">
        <v>0</v>
      </c>
      <c r="K44" s="6">
        <v>2</v>
      </c>
      <c r="L44" s="6">
        <v>12</v>
      </c>
      <c r="M44" s="6">
        <v>12</v>
      </c>
      <c r="N44" s="6">
        <v>24</v>
      </c>
      <c r="O44" s="6">
        <v>0</v>
      </c>
      <c r="P44" s="18">
        <v>2</v>
      </c>
      <c r="Q44" s="19">
        <v>18</v>
      </c>
      <c r="R44" s="15">
        <v>12</v>
      </c>
      <c r="S44" s="20">
        <v>7.99</v>
      </c>
      <c r="U44" s="7">
        <f>IF(R44="",0,R44)*S44</f>
        <v>95.88</v>
      </c>
    </row>
    <row r="45" spans="1:21" x14ac:dyDescent="0.25">
      <c r="A45" s="8" t="s">
        <v>69</v>
      </c>
      <c r="B45" s="9"/>
      <c r="C45" s="10" t="s">
        <v>29</v>
      </c>
      <c r="D45" s="11">
        <v>1</v>
      </c>
      <c r="E45" s="11">
        <v>4</v>
      </c>
      <c r="F45" s="11">
        <v>3</v>
      </c>
      <c r="G45" s="11">
        <v>8</v>
      </c>
      <c r="H45" s="11">
        <v>13</v>
      </c>
      <c r="I45" s="11">
        <v>16</v>
      </c>
      <c r="J45" s="11">
        <v>1</v>
      </c>
      <c r="K45" s="11">
        <v>6</v>
      </c>
      <c r="L45" s="11">
        <v>6</v>
      </c>
      <c r="M45" s="11">
        <v>4</v>
      </c>
      <c r="N45" s="11">
        <v>17</v>
      </c>
      <c r="O45" s="11">
        <v>3</v>
      </c>
      <c r="P45" s="16"/>
      <c r="Q45" s="16"/>
      <c r="R45" s="16"/>
      <c r="S45" s="16"/>
    </row>
    <row r="46" spans="1:21" x14ac:dyDescent="0.25">
      <c r="A46" s="12"/>
      <c r="B46" s="12"/>
      <c r="C46" s="13" t="s">
        <v>30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"/>
      <c r="Q46" s="17"/>
      <c r="R46" s="17"/>
      <c r="S46" s="17"/>
    </row>
    <row r="47" spans="1:21" x14ac:dyDescent="0.25">
      <c r="A47" s="3" t="s">
        <v>70</v>
      </c>
      <c r="B47" s="4" t="s">
        <v>71</v>
      </c>
      <c r="C47" s="5" t="s">
        <v>27</v>
      </c>
      <c r="D47" s="6">
        <v>12</v>
      </c>
      <c r="E47" s="6">
        <v>0</v>
      </c>
      <c r="F47" s="6">
        <v>12</v>
      </c>
      <c r="G47" s="6">
        <v>0</v>
      </c>
      <c r="H47" s="6">
        <v>12</v>
      </c>
      <c r="I47" s="6">
        <v>12</v>
      </c>
      <c r="J47" s="6">
        <v>0</v>
      </c>
      <c r="K47" s="6">
        <v>0</v>
      </c>
      <c r="L47" s="6">
        <v>0</v>
      </c>
      <c r="M47" s="6">
        <v>8</v>
      </c>
      <c r="N47" s="6">
        <v>24</v>
      </c>
      <c r="O47" s="6">
        <v>0</v>
      </c>
      <c r="P47" s="18">
        <v>8</v>
      </c>
      <c r="Q47" s="19">
        <v>15</v>
      </c>
      <c r="R47" s="15">
        <v>24</v>
      </c>
      <c r="S47" s="20">
        <v>7.99</v>
      </c>
      <c r="U47" s="7">
        <f>IF(R47="",0,R47)*S47</f>
        <v>191.76</v>
      </c>
    </row>
    <row r="48" spans="1:21" x14ac:dyDescent="0.25">
      <c r="A48" s="8" t="s">
        <v>72</v>
      </c>
      <c r="B48" s="9"/>
      <c r="C48" s="10" t="s">
        <v>29</v>
      </c>
      <c r="D48" s="11">
        <v>3</v>
      </c>
      <c r="E48" s="11">
        <v>3</v>
      </c>
      <c r="F48" s="11">
        <v>4</v>
      </c>
      <c r="G48" s="11">
        <v>2</v>
      </c>
      <c r="H48" s="11">
        <v>12</v>
      </c>
      <c r="I48" s="11">
        <v>7</v>
      </c>
      <c r="J48" s="11">
        <v>9</v>
      </c>
      <c r="K48" s="11">
        <v>3</v>
      </c>
      <c r="L48" s="11">
        <v>0</v>
      </c>
      <c r="M48" s="11">
        <v>1</v>
      </c>
      <c r="N48" s="11">
        <v>17</v>
      </c>
      <c r="O48" s="11">
        <v>4</v>
      </c>
      <c r="P48" s="16"/>
      <c r="Q48" s="16"/>
      <c r="R48" s="16"/>
      <c r="S48" s="16"/>
    </row>
    <row r="49" spans="1:21" x14ac:dyDescent="0.25">
      <c r="A49" s="12"/>
      <c r="B49" s="12"/>
      <c r="C49" s="13" t="s">
        <v>30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7"/>
      <c r="Q49" s="17"/>
      <c r="R49" s="17"/>
      <c r="S49" s="17"/>
    </row>
    <row r="50" spans="1:21" x14ac:dyDescent="0.25">
      <c r="A50" s="3" t="s">
        <v>73</v>
      </c>
      <c r="B50" s="4" t="s">
        <v>74</v>
      </c>
      <c r="C50" s="5" t="s">
        <v>27</v>
      </c>
      <c r="D50" s="6">
        <v>48</v>
      </c>
      <c r="E50" s="6">
        <v>24</v>
      </c>
      <c r="F50" s="6">
        <v>72</v>
      </c>
      <c r="G50" s="6">
        <v>0</v>
      </c>
      <c r="H50" s="6">
        <v>72</v>
      </c>
      <c r="I50" s="6">
        <v>24</v>
      </c>
      <c r="J50" s="6">
        <v>24</v>
      </c>
      <c r="K50" s="6">
        <v>24</v>
      </c>
      <c r="L50" s="6">
        <v>24</v>
      </c>
      <c r="M50" s="6">
        <v>48</v>
      </c>
      <c r="N50" s="6">
        <v>48</v>
      </c>
      <c r="O50" s="6">
        <v>24</v>
      </c>
      <c r="P50" s="18">
        <v>24</v>
      </c>
      <c r="Q50" s="19">
        <v>29</v>
      </c>
      <c r="R50" s="15">
        <v>0</v>
      </c>
      <c r="S50" s="20">
        <v>0.84499999999999997</v>
      </c>
      <c r="U50" s="7">
        <f>IF(R50="",0,R50)*S50</f>
        <v>0</v>
      </c>
    </row>
    <row r="51" spans="1:21" x14ac:dyDescent="0.25">
      <c r="A51" s="8" t="s">
        <v>75</v>
      </c>
      <c r="B51" s="9"/>
      <c r="C51" s="10" t="s">
        <v>29</v>
      </c>
      <c r="D51" s="11">
        <v>27</v>
      </c>
      <c r="E51" s="11">
        <v>47</v>
      </c>
      <c r="F51" s="11">
        <v>6</v>
      </c>
      <c r="G51" s="11">
        <v>65</v>
      </c>
      <c r="H51" s="11">
        <v>44</v>
      </c>
      <c r="I51" s="11">
        <v>13</v>
      </c>
      <c r="J51" s="11">
        <v>29</v>
      </c>
      <c r="K51" s="11">
        <v>36</v>
      </c>
      <c r="L51" s="11">
        <v>24</v>
      </c>
      <c r="M51" s="11">
        <v>31</v>
      </c>
      <c r="N51" s="11">
        <v>56</v>
      </c>
      <c r="O51" s="11">
        <v>27</v>
      </c>
      <c r="P51" s="16"/>
      <c r="Q51" s="16"/>
      <c r="R51" s="16"/>
      <c r="S51" s="16"/>
    </row>
    <row r="52" spans="1:21" x14ac:dyDescent="0.25">
      <c r="A52" s="12"/>
      <c r="B52" s="12"/>
      <c r="C52" s="13" t="s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7"/>
      <c r="Q52" s="17"/>
      <c r="R52" s="17"/>
      <c r="S52" s="17"/>
    </row>
    <row r="53" spans="1:21" x14ac:dyDescent="0.25">
      <c r="A53" s="3" t="s">
        <v>76</v>
      </c>
      <c r="B53" s="4" t="s">
        <v>77</v>
      </c>
      <c r="C53" s="5" t="s">
        <v>27</v>
      </c>
      <c r="D53" s="6">
        <v>50</v>
      </c>
      <c r="E53" s="6">
        <v>0</v>
      </c>
      <c r="F53" s="6">
        <v>50</v>
      </c>
      <c r="G53" s="6">
        <v>0</v>
      </c>
      <c r="H53" s="6">
        <v>50</v>
      </c>
      <c r="I53" s="6">
        <v>50</v>
      </c>
      <c r="J53" s="6">
        <v>0</v>
      </c>
      <c r="K53" s="6">
        <v>0</v>
      </c>
      <c r="L53" s="6">
        <v>50</v>
      </c>
      <c r="M53" s="6">
        <v>50</v>
      </c>
      <c r="N53" s="6">
        <v>50</v>
      </c>
      <c r="O53" s="6">
        <v>50</v>
      </c>
      <c r="P53" s="18">
        <v>50</v>
      </c>
      <c r="Q53" s="19">
        <v>25</v>
      </c>
      <c r="R53" s="15">
        <v>0</v>
      </c>
      <c r="S53" s="20">
        <v>5.2</v>
      </c>
      <c r="U53" s="7">
        <f>IF(R53="",0,R53)*S53</f>
        <v>0</v>
      </c>
    </row>
    <row r="54" spans="1:21" x14ac:dyDescent="0.25">
      <c r="A54" s="8" t="s">
        <v>78</v>
      </c>
      <c r="B54" s="9"/>
      <c r="C54" s="10" t="s">
        <v>29</v>
      </c>
      <c r="D54" s="11">
        <v>21</v>
      </c>
      <c r="E54" s="11">
        <v>24</v>
      </c>
      <c r="F54" s="11">
        <v>23</v>
      </c>
      <c r="G54" s="11">
        <v>33</v>
      </c>
      <c r="H54" s="11">
        <v>33</v>
      </c>
      <c r="I54" s="11">
        <v>30</v>
      </c>
      <c r="J54" s="11">
        <v>27</v>
      </c>
      <c r="K54" s="11">
        <v>34</v>
      </c>
      <c r="L54" s="11">
        <v>25</v>
      </c>
      <c r="M54" s="11">
        <v>35</v>
      </c>
      <c r="N54" s="11">
        <v>59</v>
      </c>
      <c r="O54" s="11">
        <v>56</v>
      </c>
      <c r="P54" s="16"/>
      <c r="Q54" s="16"/>
      <c r="R54" s="16"/>
      <c r="S54" s="16"/>
    </row>
    <row r="55" spans="1:21" x14ac:dyDescent="0.25">
      <c r="A55" s="12"/>
      <c r="B55" s="12"/>
      <c r="C55" s="13" t="s">
        <v>30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7"/>
      <c r="Q55" s="17"/>
      <c r="R55" s="17"/>
      <c r="S55" s="17"/>
    </row>
    <row r="56" spans="1:21" x14ac:dyDescent="0.25">
      <c r="A56" s="3" t="s">
        <v>79</v>
      </c>
      <c r="B56" s="4" t="s">
        <v>80</v>
      </c>
      <c r="C56" s="5" t="s">
        <v>27</v>
      </c>
      <c r="D56" s="6">
        <v>50</v>
      </c>
      <c r="E56" s="6">
        <v>50</v>
      </c>
      <c r="F56" s="6">
        <v>50</v>
      </c>
      <c r="G56" s="6">
        <v>0</v>
      </c>
      <c r="H56" s="6">
        <v>100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18">
        <v>50</v>
      </c>
      <c r="Q56" s="19">
        <v>0</v>
      </c>
      <c r="R56" s="15">
        <v>0</v>
      </c>
      <c r="S56" s="20">
        <v>3.96</v>
      </c>
      <c r="U56" s="7">
        <f>IF(R56="",0,R56)*S56</f>
        <v>0</v>
      </c>
    </row>
    <row r="57" spans="1:21" x14ac:dyDescent="0.25">
      <c r="A57" s="8" t="s">
        <v>81</v>
      </c>
      <c r="B57" s="9"/>
      <c r="C57" s="10" t="s">
        <v>29</v>
      </c>
      <c r="D57" s="11">
        <v>52</v>
      </c>
      <c r="E57" s="11">
        <v>45</v>
      </c>
      <c r="F57" s="11">
        <v>68</v>
      </c>
      <c r="G57" s="11">
        <v>45</v>
      </c>
      <c r="H57" s="11">
        <v>1</v>
      </c>
      <c r="I57" s="11">
        <v>55</v>
      </c>
      <c r="J57" s="11">
        <v>45</v>
      </c>
      <c r="K57" s="11">
        <v>1</v>
      </c>
      <c r="L57" s="11">
        <v>0</v>
      </c>
      <c r="M57" s="11">
        <v>0</v>
      </c>
      <c r="N57" s="11">
        <v>0</v>
      </c>
      <c r="O57" s="11">
        <v>0</v>
      </c>
      <c r="P57" s="16"/>
      <c r="Q57" s="16"/>
      <c r="R57" s="16"/>
      <c r="S57" s="16"/>
    </row>
    <row r="58" spans="1:21" x14ac:dyDescent="0.25">
      <c r="A58" s="12"/>
      <c r="B58" s="12"/>
      <c r="C58" s="13" t="s">
        <v>30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7"/>
      <c r="Q58" s="17"/>
      <c r="R58" s="17"/>
      <c r="S58" s="17"/>
    </row>
    <row r="59" spans="1:21" x14ac:dyDescent="0.25">
      <c r="A59" s="3" t="s">
        <v>82</v>
      </c>
      <c r="B59" s="4" t="s">
        <v>83</v>
      </c>
      <c r="C59" s="5" t="s">
        <v>27</v>
      </c>
      <c r="D59" s="6">
        <v>0</v>
      </c>
      <c r="E59" s="6">
        <v>0</v>
      </c>
      <c r="F59" s="6">
        <v>50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50</v>
      </c>
      <c r="M59" s="6">
        <v>0</v>
      </c>
      <c r="N59" s="6">
        <v>0</v>
      </c>
      <c r="O59" s="6">
        <v>0</v>
      </c>
      <c r="P59" s="18">
        <v>50</v>
      </c>
      <c r="Q59" s="19">
        <v>8</v>
      </c>
      <c r="R59" s="15">
        <v>0</v>
      </c>
      <c r="S59" s="20">
        <v>2.88</v>
      </c>
      <c r="U59" s="7">
        <f>IF(R59="",0,R59)*S59</f>
        <v>0</v>
      </c>
    </row>
    <row r="60" spans="1:21" x14ac:dyDescent="0.25">
      <c r="A60" s="8" t="s">
        <v>84</v>
      </c>
      <c r="B60" s="9"/>
      <c r="C60" s="10" t="s">
        <v>29</v>
      </c>
      <c r="D60" s="11">
        <v>4</v>
      </c>
      <c r="E60" s="11">
        <v>11</v>
      </c>
      <c r="F60" s="11">
        <v>17</v>
      </c>
      <c r="G60" s="11">
        <v>4</v>
      </c>
      <c r="H60" s="11">
        <v>9</v>
      </c>
      <c r="I60" s="11">
        <v>9</v>
      </c>
      <c r="J60" s="11">
        <v>11</v>
      </c>
      <c r="K60" s="11">
        <v>7</v>
      </c>
      <c r="L60" s="11">
        <v>13</v>
      </c>
      <c r="M60" s="11">
        <v>14</v>
      </c>
      <c r="N60" s="11">
        <v>4</v>
      </c>
      <c r="O60" s="11">
        <v>11</v>
      </c>
      <c r="P60" s="16"/>
      <c r="Q60" s="16"/>
      <c r="R60" s="16"/>
      <c r="S60" s="16"/>
    </row>
    <row r="61" spans="1:21" x14ac:dyDescent="0.25">
      <c r="A61" s="12"/>
      <c r="B61" s="12"/>
      <c r="C61" s="13" t="s">
        <v>30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7"/>
      <c r="Q61" s="17"/>
      <c r="R61" s="17"/>
      <c r="S61" s="17"/>
    </row>
    <row r="62" spans="1:21" x14ac:dyDescent="0.25">
      <c r="A62" s="3" t="s">
        <v>85</v>
      </c>
      <c r="B62" s="4" t="s">
        <v>86</v>
      </c>
      <c r="C62" s="5" t="s">
        <v>27</v>
      </c>
      <c r="D62" s="6">
        <v>25</v>
      </c>
      <c r="E62" s="6">
        <v>0</v>
      </c>
      <c r="F62" s="6">
        <v>50</v>
      </c>
      <c r="G62" s="6">
        <v>50</v>
      </c>
      <c r="H62" s="6">
        <v>25</v>
      </c>
      <c r="I62" s="6">
        <v>75</v>
      </c>
      <c r="J62" s="6">
        <v>0</v>
      </c>
      <c r="K62" s="6">
        <v>0</v>
      </c>
      <c r="L62" s="6">
        <v>25</v>
      </c>
      <c r="M62" s="6">
        <v>50</v>
      </c>
      <c r="N62" s="6">
        <v>100</v>
      </c>
      <c r="O62" s="6">
        <v>50</v>
      </c>
      <c r="P62" s="18">
        <v>25</v>
      </c>
      <c r="Q62" s="19">
        <v>50</v>
      </c>
      <c r="R62" s="15">
        <v>0</v>
      </c>
      <c r="S62" s="20">
        <v>5.08</v>
      </c>
      <c r="U62" s="7">
        <f>IF(R62="",0,R62)*S62</f>
        <v>0</v>
      </c>
    </row>
    <row r="63" spans="1:21" x14ac:dyDescent="0.25">
      <c r="A63" s="8" t="s">
        <v>87</v>
      </c>
      <c r="B63" s="9"/>
      <c r="C63" s="10" t="s">
        <v>29</v>
      </c>
      <c r="D63" s="11">
        <v>23</v>
      </c>
      <c r="E63" s="11">
        <v>18</v>
      </c>
      <c r="F63" s="11">
        <v>39</v>
      </c>
      <c r="G63" s="11">
        <v>45</v>
      </c>
      <c r="H63" s="11">
        <v>70</v>
      </c>
      <c r="I63" s="11">
        <v>45</v>
      </c>
      <c r="J63" s="11">
        <v>24</v>
      </c>
      <c r="K63" s="11">
        <v>14</v>
      </c>
      <c r="L63" s="11">
        <v>25</v>
      </c>
      <c r="M63" s="11">
        <v>36</v>
      </c>
      <c r="N63" s="11">
        <v>60</v>
      </c>
      <c r="O63" s="11">
        <v>54</v>
      </c>
      <c r="P63" s="16"/>
      <c r="Q63" s="16"/>
      <c r="R63" s="16"/>
      <c r="S63" s="16"/>
    </row>
    <row r="64" spans="1:21" x14ac:dyDescent="0.25">
      <c r="A64" s="12"/>
      <c r="B64" s="12"/>
      <c r="C64" s="13" t="s">
        <v>30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7"/>
      <c r="Q64" s="17"/>
      <c r="R64" s="17"/>
      <c r="S64" s="17"/>
    </row>
    <row r="65" spans="1:21" x14ac:dyDescent="0.25">
      <c r="A65" s="3" t="s">
        <v>88</v>
      </c>
      <c r="B65" s="4" t="s">
        <v>89</v>
      </c>
      <c r="C65" s="5" t="s">
        <v>27</v>
      </c>
      <c r="D65" s="6">
        <v>0</v>
      </c>
      <c r="E65" s="6">
        <v>0</v>
      </c>
      <c r="F65" s="6">
        <v>50</v>
      </c>
      <c r="G65" s="6">
        <v>50</v>
      </c>
      <c r="H65" s="6">
        <v>0</v>
      </c>
      <c r="I65" s="6">
        <v>0</v>
      </c>
      <c r="J65" s="6">
        <v>50</v>
      </c>
      <c r="K65" s="6">
        <v>0</v>
      </c>
      <c r="L65" s="6">
        <v>50</v>
      </c>
      <c r="M65" s="6">
        <v>50</v>
      </c>
      <c r="N65" s="6">
        <v>50</v>
      </c>
      <c r="O65" s="6">
        <v>50</v>
      </c>
      <c r="P65" s="18">
        <v>50</v>
      </c>
      <c r="Q65" s="19">
        <v>50</v>
      </c>
      <c r="R65" s="15">
        <v>0</v>
      </c>
      <c r="S65" s="20">
        <v>5.5</v>
      </c>
      <c r="U65" s="7">
        <f>IF(R65="",0,R65)*S65</f>
        <v>0</v>
      </c>
    </row>
    <row r="66" spans="1:21" x14ac:dyDescent="0.25">
      <c r="A66" s="8" t="s">
        <v>90</v>
      </c>
      <c r="B66" s="9"/>
      <c r="C66" s="10" t="s">
        <v>29</v>
      </c>
      <c r="D66" s="11">
        <v>14</v>
      </c>
      <c r="E66" s="11">
        <v>29</v>
      </c>
      <c r="F66" s="11">
        <v>21</v>
      </c>
      <c r="G66" s="11">
        <v>17</v>
      </c>
      <c r="H66" s="11">
        <v>25</v>
      </c>
      <c r="I66" s="11">
        <v>25</v>
      </c>
      <c r="J66" s="11">
        <v>36</v>
      </c>
      <c r="K66" s="11">
        <v>39</v>
      </c>
      <c r="L66" s="11">
        <v>25</v>
      </c>
      <c r="M66" s="11">
        <v>36</v>
      </c>
      <c r="N66" s="11">
        <v>32</v>
      </c>
      <c r="O66" s="11">
        <v>57</v>
      </c>
      <c r="P66" s="16"/>
      <c r="Q66" s="16"/>
      <c r="R66" s="16"/>
      <c r="S66" s="16"/>
    </row>
    <row r="67" spans="1:21" x14ac:dyDescent="0.25">
      <c r="A67" s="12"/>
      <c r="B67" s="12"/>
      <c r="C67" s="13" t="s">
        <v>30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7"/>
      <c r="Q67" s="17"/>
      <c r="R67" s="17"/>
      <c r="S67" s="17"/>
    </row>
    <row r="68" spans="1:21" x14ac:dyDescent="0.25">
      <c r="A68" s="3" t="s">
        <v>91</v>
      </c>
      <c r="B68" s="4" t="s">
        <v>92</v>
      </c>
      <c r="C68" s="5" t="s">
        <v>27</v>
      </c>
      <c r="D68" s="6">
        <v>0</v>
      </c>
      <c r="E68" s="6">
        <v>20</v>
      </c>
      <c r="F68" s="6">
        <v>0</v>
      </c>
      <c r="G68" s="6">
        <v>20</v>
      </c>
      <c r="H68" s="6">
        <v>0</v>
      </c>
      <c r="I68" s="6">
        <v>20</v>
      </c>
      <c r="J68" s="6">
        <v>0</v>
      </c>
      <c r="K68" s="6">
        <v>0</v>
      </c>
      <c r="L68" s="6">
        <v>0</v>
      </c>
      <c r="M68" s="6">
        <v>0</v>
      </c>
      <c r="N68" s="6">
        <v>20</v>
      </c>
      <c r="O68" s="6">
        <v>0</v>
      </c>
      <c r="P68" s="18">
        <v>20</v>
      </c>
      <c r="Q68" s="19">
        <v>1</v>
      </c>
      <c r="R68" s="15">
        <v>0</v>
      </c>
      <c r="S68" s="20">
        <v>9.89</v>
      </c>
      <c r="U68" s="7">
        <f>IF(R68="",0,R68)*S68</f>
        <v>0</v>
      </c>
    </row>
    <row r="69" spans="1:21" x14ac:dyDescent="0.25">
      <c r="A69" s="8" t="s">
        <v>93</v>
      </c>
      <c r="B69" s="9"/>
      <c r="C69" s="10" t="s">
        <v>29</v>
      </c>
      <c r="D69" s="11">
        <v>8</v>
      </c>
      <c r="E69" s="11">
        <v>7</v>
      </c>
      <c r="F69" s="11">
        <v>11</v>
      </c>
      <c r="G69" s="11">
        <v>5</v>
      </c>
      <c r="H69" s="11">
        <v>11</v>
      </c>
      <c r="I69" s="11">
        <v>14</v>
      </c>
      <c r="J69" s="11">
        <v>6</v>
      </c>
      <c r="K69" s="11">
        <v>15</v>
      </c>
      <c r="L69" s="11">
        <v>7</v>
      </c>
      <c r="M69" s="11">
        <v>0</v>
      </c>
      <c r="N69" s="11">
        <v>8</v>
      </c>
      <c r="O69" s="11">
        <v>11</v>
      </c>
      <c r="P69" s="16"/>
      <c r="Q69" s="16"/>
      <c r="R69" s="16"/>
      <c r="S69" s="16"/>
    </row>
    <row r="70" spans="1:21" x14ac:dyDescent="0.25">
      <c r="A70" s="12"/>
      <c r="B70" s="12"/>
      <c r="C70" s="13" t="s">
        <v>30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7"/>
      <c r="Q70" s="17"/>
      <c r="R70" s="17"/>
      <c r="S70" s="17"/>
    </row>
    <row r="71" spans="1:21" x14ac:dyDescent="0.25">
      <c r="A71" s="3" t="s">
        <v>94</v>
      </c>
      <c r="B71" s="4" t="s">
        <v>95</v>
      </c>
      <c r="C71" s="5" t="s">
        <v>27</v>
      </c>
      <c r="D71" s="6">
        <v>0</v>
      </c>
      <c r="E71" s="6">
        <v>0</v>
      </c>
      <c r="F71" s="6">
        <v>50</v>
      </c>
      <c r="G71" s="6">
        <v>25</v>
      </c>
      <c r="H71" s="6">
        <v>0</v>
      </c>
      <c r="I71" s="6">
        <v>0</v>
      </c>
      <c r="J71" s="6">
        <v>0</v>
      </c>
      <c r="K71" s="6">
        <v>0</v>
      </c>
      <c r="L71" s="6">
        <v>25</v>
      </c>
      <c r="M71" s="6">
        <v>0</v>
      </c>
      <c r="N71" s="6">
        <v>25</v>
      </c>
      <c r="O71" s="6">
        <v>0</v>
      </c>
      <c r="P71" s="18">
        <v>25</v>
      </c>
      <c r="Q71" s="19">
        <v>19</v>
      </c>
      <c r="R71" s="15">
        <v>0</v>
      </c>
      <c r="S71" s="20">
        <v>5.72</v>
      </c>
      <c r="U71" s="7">
        <f>IF(R71="",0,R71)*S71</f>
        <v>0</v>
      </c>
    </row>
    <row r="72" spans="1:21" x14ac:dyDescent="0.25">
      <c r="A72" s="8" t="s">
        <v>96</v>
      </c>
      <c r="B72" s="9"/>
      <c r="C72" s="10" t="s">
        <v>29</v>
      </c>
      <c r="D72" s="11">
        <v>8</v>
      </c>
      <c r="E72" s="11">
        <v>14</v>
      </c>
      <c r="F72" s="11">
        <v>9</v>
      </c>
      <c r="G72" s="11">
        <v>5</v>
      </c>
      <c r="H72" s="11">
        <v>9</v>
      </c>
      <c r="I72" s="11">
        <v>10</v>
      </c>
      <c r="J72" s="11">
        <v>9</v>
      </c>
      <c r="K72" s="11">
        <v>12</v>
      </c>
      <c r="L72" s="11">
        <v>15</v>
      </c>
      <c r="M72" s="11">
        <v>14</v>
      </c>
      <c r="N72" s="11">
        <v>15</v>
      </c>
      <c r="O72" s="11">
        <v>8</v>
      </c>
      <c r="P72" s="16"/>
      <c r="Q72" s="16"/>
      <c r="R72" s="16"/>
      <c r="S72" s="16"/>
    </row>
    <row r="73" spans="1:21" x14ac:dyDescent="0.25">
      <c r="A73" s="12"/>
      <c r="B73" s="12"/>
      <c r="C73" s="13" t="s">
        <v>30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7"/>
      <c r="Q73" s="17"/>
      <c r="R73" s="17"/>
      <c r="S73" s="17"/>
    </row>
    <row r="74" spans="1:21" x14ac:dyDescent="0.25">
      <c r="A74" s="3" t="s">
        <v>97</v>
      </c>
      <c r="B74" s="4" t="s">
        <v>98</v>
      </c>
      <c r="C74" s="5" t="s">
        <v>27</v>
      </c>
      <c r="D74" s="6">
        <v>24</v>
      </c>
      <c r="E74" s="6">
        <v>0</v>
      </c>
      <c r="F74" s="6">
        <v>0</v>
      </c>
      <c r="G74" s="6">
        <v>0</v>
      </c>
      <c r="H74" s="6">
        <v>24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18">
        <v>24</v>
      </c>
      <c r="Q74" s="19">
        <v>0</v>
      </c>
      <c r="R74" s="15">
        <v>0</v>
      </c>
      <c r="S74" s="20">
        <v>1.33</v>
      </c>
      <c r="U74" s="7">
        <f>IF(R74="",0,R74)*S74</f>
        <v>0</v>
      </c>
    </row>
    <row r="75" spans="1:21" x14ac:dyDescent="0.25">
      <c r="A75" s="8" t="s">
        <v>99</v>
      </c>
      <c r="B75" s="9"/>
      <c r="C75" s="10" t="s">
        <v>29</v>
      </c>
      <c r="D75" s="11">
        <v>10</v>
      </c>
      <c r="E75" s="11">
        <v>12</v>
      </c>
      <c r="F75" s="11">
        <v>2</v>
      </c>
      <c r="G75" s="11">
        <v>6</v>
      </c>
      <c r="H75" s="11">
        <v>8</v>
      </c>
      <c r="I75" s="11">
        <v>0</v>
      </c>
      <c r="J75" s="11">
        <v>10</v>
      </c>
      <c r="K75" s="11">
        <v>8</v>
      </c>
      <c r="L75" s="11">
        <v>2</v>
      </c>
      <c r="M75" s="11">
        <v>4</v>
      </c>
      <c r="N75" s="11">
        <v>0</v>
      </c>
      <c r="O75" s="11">
        <v>0</v>
      </c>
      <c r="P75" s="16"/>
      <c r="Q75" s="16"/>
      <c r="R75" s="16"/>
      <c r="S75" s="16"/>
    </row>
    <row r="76" spans="1:21" x14ac:dyDescent="0.25">
      <c r="A76" s="12"/>
      <c r="B76" s="12"/>
      <c r="C76" s="13" t="s">
        <v>30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7"/>
      <c r="Q76" s="17"/>
      <c r="R76" s="17"/>
      <c r="S76" s="17"/>
    </row>
    <row r="77" spans="1:21" x14ac:dyDescent="0.25">
      <c r="A77" s="3" t="s">
        <v>100</v>
      </c>
      <c r="B77" s="4" t="s">
        <v>101</v>
      </c>
      <c r="C77" s="5" t="s">
        <v>27</v>
      </c>
      <c r="D77" s="6">
        <v>12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12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18">
        <v>12</v>
      </c>
      <c r="Q77" s="19">
        <v>0</v>
      </c>
      <c r="R77" s="15">
        <v>0</v>
      </c>
      <c r="S77" s="20">
        <v>7.65</v>
      </c>
      <c r="U77" s="7">
        <f>IF(R77="",0,R77)*S77</f>
        <v>0</v>
      </c>
    </row>
    <row r="78" spans="1:21" x14ac:dyDescent="0.25">
      <c r="A78" s="8" t="s">
        <v>102</v>
      </c>
      <c r="B78" s="9"/>
      <c r="C78" s="10" t="s">
        <v>29</v>
      </c>
      <c r="D78" s="11">
        <v>5</v>
      </c>
      <c r="E78" s="11">
        <v>5</v>
      </c>
      <c r="F78" s="11">
        <v>2</v>
      </c>
      <c r="G78" s="11">
        <v>1</v>
      </c>
      <c r="H78" s="11">
        <v>3</v>
      </c>
      <c r="I78" s="11">
        <v>0</v>
      </c>
      <c r="J78" s="11">
        <v>10</v>
      </c>
      <c r="K78" s="11">
        <v>2</v>
      </c>
      <c r="L78" s="11">
        <v>0</v>
      </c>
      <c r="M78" s="11">
        <v>0</v>
      </c>
      <c r="N78" s="11">
        <v>0</v>
      </c>
      <c r="O78" s="11">
        <v>0</v>
      </c>
      <c r="P78" s="16"/>
      <c r="Q78" s="16"/>
      <c r="R78" s="16"/>
      <c r="S78" s="16"/>
    </row>
    <row r="79" spans="1:21" x14ac:dyDescent="0.25">
      <c r="A79" s="12"/>
      <c r="B79" s="12"/>
      <c r="C79" s="13" t="s">
        <v>30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7"/>
      <c r="Q79" s="17"/>
      <c r="R79" s="17"/>
      <c r="S79" s="17"/>
    </row>
    <row r="80" spans="1:21" x14ac:dyDescent="0.25">
      <c r="A80" s="3" t="s">
        <v>103</v>
      </c>
      <c r="B80" s="4" t="s">
        <v>104</v>
      </c>
      <c r="C80" s="5" t="s">
        <v>27</v>
      </c>
      <c r="D80" s="6">
        <v>12</v>
      </c>
      <c r="E80" s="6">
        <v>0</v>
      </c>
      <c r="F80" s="6">
        <v>0</v>
      </c>
      <c r="G80" s="6">
        <v>12</v>
      </c>
      <c r="H80" s="6">
        <v>0</v>
      </c>
      <c r="I80" s="6">
        <v>0</v>
      </c>
      <c r="J80" s="6">
        <v>12</v>
      </c>
      <c r="K80" s="6">
        <v>0</v>
      </c>
      <c r="L80" s="6">
        <v>0</v>
      </c>
      <c r="M80" s="6">
        <v>0</v>
      </c>
      <c r="N80" s="6">
        <v>12</v>
      </c>
      <c r="O80" s="6">
        <v>0</v>
      </c>
      <c r="P80" s="18">
        <v>12</v>
      </c>
      <c r="Q80" s="19">
        <v>8</v>
      </c>
      <c r="R80" s="15">
        <v>0</v>
      </c>
      <c r="S80" s="20">
        <v>16.2</v>
      </c>
      <c r="U80" s="7">
        <f>IF(R80="",0,R80)*S80</f>
        <v>0</v>
      </c>
    </row>
    <row r="81" spans="1:21" x14ac:dyDescent="0.25">
      <c r="A81" s="8" t="s">
        <v>105</v>
      </c>
      <c r="B81" s="9"/>
      <c r="C81" s="10" t="s">
        <v>29</v>
      </c>
      <c r="D81" s="11">
        <v>4</v>
      </c>
      <c r="E81" s="11">
        <v>3</v>
      </c>
      <c r="F81" s="11">
        <v>3</v>
      </c>
      <c r="G81" s="11">
        <v>4</v>
      </c>
      <c r="H81" s="11">
        <v>4</v>
      </c>
      <c r="I81" s="11">
        <v>3</v>
      </c>
      <c r="J81" s="11">
        <v>1</v>
      </c>
      <c r="K81" s="11">
        <v>1</v>
      </c>
      <c r="L81" s="11">
        <v>5</v>
      </c>
      <c r="M81" s="11">
        <v>4</v>
      </c>
      <c r="N81" s="11">
        <v>4</v>
      </c>
      <c r="O81" s="11">
        <v>4</v>
      </c>
      <c r="P81" s="16"/>
      <c r="Q81" s="16"/>
      <c r="R81" s="16"/>
      <c r="S81" s="16"/>
    </row>
    <row r="82" spans="1:21" x14ac:dyDescent="0.25">
      <c r="A82" s="12"/>
      <c r="B82" s="12"/>
      <c r="C82" s="13" t="s">
        <v>30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7"/>
      <c r="Q82" s="17"/>
      <c r="R82" s="17"/>
      <c r="S82" s="17"/>
    </row>
    <row r="83" spans="1:21" x14ac:dyDescent="0.25">
      <c r="A83" s="3" t="s">
        <v>106</v>
      </c>
      <c r="B83" s="4" t="s">
        <v>107</v>
      </c>
      <c r="C83" s="5" t="s">
        <v>27</v>
      </c>
      <c r="D83" s="6">
        <v>42</v>
      </c>
      <c r="E83" s="6">
        <v>28</v>
      </c>
      <c r="F83" s="6">
        <v>14</v>
      </c>
      <c r="G83" s="6">
        <v>24</v>
      </c>
      <c r="H83" s="6">
        <v>24</v>
      </c>
      <c r="I83" s="6">
        <v>0</v>
      </c>
      <c r="J83" s="6">
        <v>38</v>
      </c>
      <c r="K83" s="6">
        <v>24</v>
      </c>
      <c r="L83" s="6">
        <v>48</v>
      </c>
      <c r="M83" s="6">
        <v>48</v>
      </c>
      <c r="N83" s="6">
        <v>0</v>
      </c>
      <c r="O83" s="6">
        <v>0</v>
      </c>
      <c r="P83" s="18">
        <v>14</v>
      </c>
      <c r="Q83" s="19">
        <v>0</v>
      </c>
      <c r="R83" s="15">
        <v>0</v>
      </c>
      <c r="S83" s="20">
        <v>1.99</v>
      </c>
      <c r="U83" s="7">
        <f>IF(R83="",0,R83)*S83</f>
        <v>0</v>
      </c>
    </row>
    <row r="84" spans="1:21" x14ac:dyDescent="0.25">
      <c r="A84" s="8" t="s">
        <v>108</v>
      </c>
      <c r="B84" s="9"/>
      <c r="C84" s="10" t="s">
        <v>29</v>
      </c>
      <c r="D84" s="11">
        <v>32</v>
      </c>
      <c r="E84" s="11">
        <v>37</v>
      </c>
      <c r="F84" s="11">
        <v>10</v>
      </c>
      <c r="G84" s="11">
        <v>23</v>
      </c>
      <c r="H84" s="11">
        <v>36</v>
      </c>
      <c r="I84" s="11">
        <v>15</v>
      </c>
      <c r="J84" s="11">
        <v>26</v>
      </c>
      <c r="K84" s="11">
        <v>35</v>
      </c>
      <c r="L84" s="11">
        <v>34</v>
      </c>
      <c r="M84" s="11">
        <v>37</v>
      </c>
      <c r="N84" s="11">
        <v>25</v>
      </c>
      <c r="O84" s="11">
        <v>4</v>
      </c>
      <c r="P84" s="16"/>
      <c r="Q84" s="16"/>
      <c r="R84" s="16"/>
      <c r="S84" s="16"/>
    </row>
    <row r="85" spans="1:21" x14ac:dyDescent="0.25">
      <c r="A85" s="12"/>
      <c r="B85" s="12"/>
      <c r="C85" s="13" t="s">
        <v>30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7"/>
      <c r="Q85" s="17"/>
      <c r="R85" s="17"/>
      <c r="S85" s="17"/>
    </row>
    <row r="86" spans="1:21" x14ac:dyDescent="0.25">
      <c r="A86" s="3" t="s">
        <v>109</v>
      </c>
      <c r="B86" s="4" t="s">
        <v>110</v>
      </c>
      <c r="C86" s="5" t="s">
        <v>27</v>
      </c>
      <c r="D86" s="6">
        <v>12</v>
      </c>
      <c r="E86" s="6">
        <v>0</v>
      </c>
      <c r="F86" s="6">
        <v>0</v>
      </c>
      <c r="G86" s="6">
        <v>24</v>
      </c>
      <c r="H86" s="6">
        <v>0</v>
      </c>
      <c r="I86" s="6">
        <v>0</v>
      </c>
      <c r="J86" s="6">
        <v>12</v>
      </c>
      <c r="K86" s="6">
        <v>12</v>
      </c>
      <c r="L86" s="6">
        <v>12</v>
      </c>
      <c r="M86" s="6">
        <v>0</v>
      </c>
      <c r="N86" s="6">
        <v>24</v>
      </c>
      <c r="O86" s="6">
        <v>0</v>
      </c>
      <c r="P86" s="18">
        <v>12</v>
      </c>
      <c r="Q86" s="19">
        <v>11</v>
      </c>
      <c r="R86" s="15">
        <v>0</v>
      </c>
      <c r="S86" s="20">
        <v>6.05</v>
      </c>
      <c r="U86" s="7">
        <f>IF(R86="",0,R86)*S86</f>
        <v>0</v>
      </c>
    </row>
    <row r="87" spans="1:21" x14ac:dyDescent="0.25">
      <c r="A87" s="8" t="s">
        <v>111</v>
      </c>
      <c r="B87" s="9"/>
      <c r="C87" s="10" t="s">
        <v>29</v>
      </c>
      <c r="D87" s="11">
        <v>6</v>
      </c>
      <c r="E87" s="11">
        <v>11</v>
      </c>
      <c r="F87" s="11">
        <v>2</v>
      </c>
      <c r="G87" s="11">
        <v>11</v>
      </c>
      <c r="H87" s="11">
        <v>6</v>
      </c>
      <c r="I87" s="11">
        <v>2</v>
      </c>
      <c r="J87" s="11">
        <v>10</v>
      </c>
      <c r="K87" s="11">
        <v>11</v>
      </c>
      <c r="L87" s="11">
        <v>8</v>
      </c>
      <c r="M87" s="11">
        <v>2</v>
      </c>
      <c r="N87" s="11">
        <v>12</v>
      </c>
      <c r="O87" s="11">
        <v>11</v>
      </c>
      <c r="P87" s="16"/>
      <c r="Q87" s="16"/>
      <c r="R87" s="16"/>
      <c r="S87" s="16"/>
    </row>
    <row r="88" spans="1:21" x14ac:dyDescent="0.25">
      <c r="A88" s="12"/>
      <c r="B88" s="12"/>
      <c r="C88" s="13" t="s">
        <v>30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7"/>
      <c r="Q88" s="17"/>
      <c r="R88" s="17"/>
      <c r="S88" s="17"/>
    </row>
    <row r="89" spans="1:21" x14ac:dyDescent="0.25">
      <c r="A89" s="3" t="s">
        <v>112</v>
      </c>
      <c r="B89" s="4" t="s">
        <v>113</v>
      </c>
      <c r="C89" s="5" t="s">
        <v>27</v>
      </c>
      <c r="D89" s="6">
        <v>0</v>
      </c>
      <c r="E89" s="6">
        <v>0</v>
      </c>
      <c r="F89" s="6">
        <v>12</v>
      </c>
      <c r="G89" s="6">
        <v>0</v>
      </c>
      <c r="H89" s="6">
        <v>0</v>
      </c>
      <c r="I89" s="6">
        <v>12</v>
      </c>
      <c r="J89" s="6">
        <v>0</v>
      </c>
      <c r="K89" s="6">
        <v>0</v>
      </c>
      <c r="L89" s="6">
        <v>0</v>
      </c>
      <c r="M89" s="6">
        <v>12</v>
      </c>
      <c r="N89" s="6">
        <v>0</v>
      </c>
      <c r="O89" s="6">
        <v>0</v>
      </c>
      <c r="P89" s="18">
        <v>12</v>
      </c>
      <c r="Q89" s="19">
        <v>9</v>
      </c>
      <c r="R89" s="15">
        <v>0</v>
      </c>
      <c r="S89" s="20">
        <v>11.14</v>
      </c>
      <c r="U89" s="7">
        <f>IF(R89="",0,R89)*S89</f>
        <v>0</v>
      </c>
    </row>
    <row r="90" spans="1:21" x14ac:dyDescent="0.25">
      <c r="A90" s="8" t="s">
        <v>114</v>
      </c>
      <c r="B90" s="9"/>
      <c r="C90" s="10" t="s">
        <v>29</v>
      </c>
      <c r="D90" s="11">
        <v>3</v>
      </c>
      <c r="E90" s="11">
        <v>4</v>
      </c>
      <c r="F90" s="11">
        <v>3</v>
      </c>
      <c r="G90" s="11">
        <v>3</v>
      </c>
      <c r="H90" s="11">
        <v>2</v>
      </c>
      <c r="I90" s="11">
        <v>2</v>
      </c>
      <c r="J90" s="11">
        <v>4</v>
      </c>
      <c r="K90" s="11">
        <v>0</v>
      </c>
      <c r="L90" s="11">
        <v>5</v>
      </c>
      <c r="M90" s="11">
        <v>3</v>
      </c>
      <c r="N90" s="11">
        <v>4</v>
      </c>
      <c r="O90" s="11">
        <v>1</v>
      </c>
      <c r="P90" s="16"/>
      <c r="Q90" s="16"/>
      <c r="R90" s="16"/>
      <c r="S90" s="16"/>
    </row>
    <row r="91" spans="1:21" x14ac:dyDescent="0.25">
      <c r="A91" s="12"/>
      <c r="B91" s="12"/>
      <c r="C91" s="13" t="s">
        <v>30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7"/>
      <c r="Q91" s="17"/>
      <c r="R91" s="17"/>
      <c r="S91" s="17"/>
    </row>
    <row r="92" spans="1:21" x14ac:dyDescent="0.25">
      <c r="A92" s="3" t="s">
        <v>115</v>
      </c>
      <c r="B92" s="4" t="s">
        <v>116</v>
      </c>
      <c r="C92" s="5" t="s">
        <v>27</v>
      </c>
      <c r="D92" s="6">
        <v>0</v>
      </c>
      <c r="E92" s="6">
        <v>12</v>
      </c>
      <c r="F92" s="6">
        <v>0</v>
      </c>
      <c r="G92" s="6">
        <v>0</v>
      </c>
      <c r="H92" s="6">
        <v>12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18">
        <v>12</v>
      </c>
      <c r="Q92" s="19">
        <v>0</v>
      </c>
      <c r="R92" s="15">
        <v>0</v>
      </c>
      <c r="S92" s="20">
        <v>5</v>
      </c>
      <c r="U92" s="7">
        <f>IF(R92="",0,R92)*S92</f>
        <v>0</v>
      </c>
    </row>
    <row r="93" spans="1:21" x14ac:dyDescent="0.25">
      <c r="A93" s="8" t="s">
        <v>117</v>
      </c>
      <c r="B93" s="9"/>
      <c r="C93" s="10" t="s">
        <v>29</v>
      </c>
      <c r="D93" s="11">
        <v>9</v>
      </c>
      <c r="E93" s="11">
        <v>5</v>
      </c>
      <c r="F93" s="11">
        <v>8</v>
      </c>
      <c r="G93" s="11">
        <v>4</v>
      </c>
      <c r="H93" s="11">
        <v>0</v>
      </c>
      <c r="I93" s="11">
        <v>6</v>
      </c>
      <c r="J93" s="11">
        <v>6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6"/>
      <c r="Q93" s="16"/>
      <c r="R93" s="16"/>
      <c r="S93" s="16"/>
    </row>
    <row r="94" spans="1:21" x14ac:dyDescent="0.25">
      <c r="A94" s="12"/>
      <c r="B94" s="12"/>
      <c r="C94" s="13" t="s">
        <v>30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7"/>
      <c r="Q94" s="17"/>
      <c r="R94" s="17"/>
      <c r="S94" s="17"/>
    </row>
    <row r="95" spans="1:21" x14ac:dyDescent="0.25">
      <c r="A95" s="3" t="s">
        <v>118</v>
      </c>
      <c r="B95" s="4" t="s">
        <v>119</v>
      </c>
      <c r="C95" s="5" t="s">
        <v>27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40</v>
      </c>
      <c r="L95" s="6">
        <v>0</v>
      </c>
      <c r="M95" s="6">
        <v>0</v>
      </c>
      <c r="N95" s="6">
        <v>0</v>
      </c>
      <c r="O95" s="6">
        <v>0</v>
      </c>
      <c r="P95" s="18">
        <v>40</v>
      </c>
      <c r="Q95" s="19">
        <v>2</v>
      </c>
      <c r="R95" s="15">
        <v>0</v>
      </c>
      <c r="S95" s="20">
        <v>4.9089999999999998</v>
      </c>
      <c r="U95" s="7">
        <f>IF(R95="",0,R95)*S95</f>
        <v>0</v>
      </c>
    </row>
    <row r="96" spans="1:21" x14ac:dyDescent="0.25">
      <c r="A96" s="8" t="s">
        <v>120</v>
      </c>
      <c r="B96" s="9"/>
      <c r="C96" s="10" t="s">
        <v>29</v>
      </c>
      <c r="D96" s="11">
        <v>7</v>
      </c>
      <c r="E96" s="11">
        <v>7</v>
      </c>
      <c r="F96" s="11">
        <v>4</v>
      </c>
      <c r="G96" s="11">
        <v>7</v>
      </c>
      <c r="H96" s="11">
        <v>5</v>
      </c>
      <c r="I96" s="11">
        <v>3</v>
      </c>
      <c r="J96" s="11">
        <v>2</v>
      </c>
      <c r="K96" s="11">
        <v>4</v>
      </c>
      <c r="L96" s="11">
        <v>10</v>
      </c>
      <c r="M96" s="11">
        <v>7</v>
      </c>
      <c r="N96" s="11">
        <v>13</v>
      </c>
      <c r="O96" s="11">
        <v>4</v>
      </c>
      <c r="P96" s="16"/>
      <c r="Q96" s="16"/>
      <c r="R96" s="16"/>
      <c r="S96" s="16"/>
    </row>
    <row r="97" spans="1:21" x14ac:dyDescent="0.25">
      <c r="A97" s="12"/>
      <c r="B97" s="12"/>
      <c r="C97" s="13" t="s">
        <v>30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7"/>
      <c r="Q97" s="17"/>
      <c r="R97" s="17"/>
      <c r="S97" s="17"/>
    </row>
    <row r="98" spans="1:21" x14ac:dyDescent="0.25">
      <c r="A98" s="3" t="s">
        <v>121</v>
      </c>
      <c r="B98" s="4" t="s">
        <v>122</v>
      </c>
      <c r="C98" s="5" t="s">
        <v>27</v>
      </c>
      <c r="D98" s="6">
        <v>240</v>
      </c>
      <c r="E98" s="6">
        <v>0</v>
      </c>
      <c r="F98" s="6">
        <v>120</v>
      </c>
      <c r="G98" s="6">
        <v>120</v>
      </c>
      <c r="H98" s="6">
        <v>0</v>
      </c>
      <c r="I98" s="6">
        <v>60</v>
      </c>
      <c r="J98" s="6">
        <v>60</v>
      </c>
      <c r="K98" s="6">
        <v>60</v>
      </c>
      <c r="L98" s="6">
        <v>60</v>
      </c>
      <c r="M98" s="6">
        <v>120</v>
      </c>
      <c r="N98" s="6">
        <v>0</v>
      </c>
      <c r="O98" s="6">
        <v>0</v>
      </c>
      <c r="P98" s="18">
        <v>60</v>
      </c>
      <c r="Q98" s="19">
        <v>26</v>
      </c>
      <c r="R98" s="15">
        <v>0</v>
      </c>
      <c r="S98" s="20">
        <v>0.80100000000000005</v>
      </c>
      <c r="U98" s="7">
        <f>IF(R98="",0,R98)*S98</f>
        <v>0</v>
      </c>
    </row>
    <row r="99" spans="1:21" x14ac:dyDescent="0.25">
      <c r="A99" s="8" t="s">
        <v>123</v>
      </c>
      <c r="B99" s="9"/>
      <c r="C99" s="10" t="s">
        <v>29</v>
      </c>
      <c r="D99" s="11">
        <v>119</v>
      </c>
      <c r="E99" s="11">
        <v>109</v>
      </c>
      <c r="F99" s="11">
        <v>50</v>
      </c>
      <c r="G99" s="11">
        <v>72</v>
      </c>
      <c r="H99" s="11">
        <v>27</v>
      </c>
      <c r="I99" s="11">
        <v>88</v>
      </c>
      <c r="J99" s="11">
        <v>62</v>
      </c>
      <c r="K99" s="11">
        <v>88</v>
      </c>
      <c r="L99" s="11">
        <v>65</v>
      </c>
      <c r="M99" s="11">
        <v>57</v>
      </c>
      <c r="N99" s="11">
        <v>77</v>
      </c>
      <c r="O99" s="11">
        <v>0</v>
      </c>
      <c r="P99" s="16"/>
      <c r="Q99" s="16"/>
      <c r="R99" s="16"/>
      <c r="S99" s="16"/>
    </row>
    <row r="100" spans="1:21" x14ac:dyDescent="0.25">
      <c r="A100" s="12"/>
      <c r="B100" s="12"/>
      <c r="C100" s="13" t="s">
        <v>30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7"/>
      <c r="Q100" s="17"/>
      <c r="R100" s="17"/>
      <c r="S100" s="17"/>
    </row>
    <row r="101" spans="1:21" x14ac:dyDescent="0.25">
      <c r="A101" s="3" t="s">
        <v>124</v>
      </c>
      <c r="B101" s="4" t="s">
        <v>125</v>
      </c>
      <c r="C101" s="5" t="s">
        <v>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960</v>
      </c>
      <c r="L101" s="6">
        <v>1800</v>
      </c>
      <c r="M101" s="6">
        <v>0</v>
      </c>
      <c r="N101" s="6">
        <v>0</v>
      </c>
      <c r="O101" s="6">
        <v>0</v>
      </c>
      <c r="P101" s="18">
        <v>960</v>
      </c>
      <c r="Q101" s="19">
        <v>7</v>
      </c>
      <c r="R101" s="15">
        <v>0</v>
      </c>
      <c r="S101" s="20">
        <v>5.4991000000000003</v>
      </c>
      <c r="U101" s="7">
        <f>IF(R101="",0,R101)*S101</f>
        <v>0</v>
      </c>
    </row>
    <row r="102" spans="1:21" x14ac:dyDescent="0.25">
      <c r="A102" s="8" t="s">
        <v>126</v>
      </c>
      <c r="B102" s="9"/>
      <c r="C102" s="10" t="s">
        <v>29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959</v>
      </c>
      <c r="L102" s="11">
        <v>1545</v>
      </c>
      <c r="M102" s="11">
        <v>249</v>
      </c>
      <c r="N102" s="11">
        <v>0</v>
      </c>
      <c r="O102" s="11">
        <v>0</v>
      </c>
      <c r="P102" s="16"/>
      <c r="Q102" s="16"/>
      <c r="R102" s="16"/>
      <c r="S102" s="16"/>
    </row>
    <row r="103" spans="1:21" x14ac:dyDescent="0.25">
      <c r="A103" s="12"/>
      <c r="B103" s="12"/>
      <c r="C103" s="13" t="s">
        <v>30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7"/>
      <c r="Q103" s="17"/>
      <c r="R103" s="17"/>
      <c r="S103" s="17"/>
    </row>
    <row r="104" spans="1:21" x14ac:dyDescent="0.25">
      <c r="A104" s="3" t="s">
        <v>127</v>
      </c>
      <c r="B104" s="4" t="s">
        <v>128</v>
      </c>
      <c r="C104" s="5" t="s">
        <v>27</v>
      </c>
      <c r="D104" s="6">
        <v>24</v>
      </c>
      <c r="E104" s="6">
        <v>24</v>
      </c>
      <c r="F104" s="6">
        <v>0</v>
      </c>
      <c r="G104" s="6">
        <v>48</v>
      </c>
      <c r="H104" s="6">
        <v>0</v>
      </c>
      <c r="I104" s="6">
        <v>24</v>
      </c>
      <c r="J104" s="6">
        <v>0</v>
      </c>
      <c r="K104" s="6">
        <v>24</v>
      </c>
      <c r="L104" s="6">
        <v>24</v>
      </c>
      <c r="M104" s="6">
        <v>0</v>
      </c>
      <c r="N104" s="6">
        <v>24</v>
      </c>
      <c r="O104" s="6">
        <v>0</v>
      </c>
      <c r="P104" s="18">
        <v>24</v>
      </c>
      <c r="Q104" s="19">
        <v>10</v>
      </c>
      <c r="R104" s="15">
        <v>0</v>
      </c>
      <c r="S104" s="20">
        <v>5.73</v>
      </c>
      <c r="U104" s="7">
        <f>IF(R104="",0,R104)*S104</f>
        <v>0</v>
      </c>
    </row>
    <row r="105" spans="1:21" x14ac:dyDescent="0.25">
      <c r="A105" s="8" t="s">
        <v>129</v>
      </c>
      <c r="B105" s="9"/>
      <c r="C105" s="10" t="s">
        <v>29</v>
      </c>
      <c r="D105" s="11">
        <v>22</v>
      </c>
      <c r="E105" s="11">
        <v>23</v>
      </c>
      <c r="F105" s="11">
        <v>30</v>
      </c>
      <c r="G105" s="11">
        <v>27</v>
      </c>
      <c r="H105" s="11">
        <v>6</v>
      </c>
      <c r="I105" s="11">
        <v>7</v>
      </c>
      <c r="J105" s="11">
        <v>15</v>
      </c>
      <c r="K105" s="11">
        <v>23</v>
      </c>
      <c r="L105" s="11">
        <v>12</v>
      </c>
      <c r="M105" s="11">
        <v>12</v>
      </c>
      <c r="N105" s="11">
        <v>14</v>
      </c>
      <c r="O105" s="11">
        <v>18</v>
      </c>
      <c r="P105" s="16"/>
      <c r="Q105" s="16"/>
      <c r="R105" s="16"/>
      <c r="S105" s="16"/>
    </row>
    <row r="106" spans="1:21" x14ac:dyDescent="0.25">
      <c r="A106" s="12"/>
      <c r="B106" s="12"/>
      <c r="C106" s="13" t="s">
        <v>30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7"/>
      <c r="Q106" s="17"/>
      <c r="R106" s="17"/>
      <c r="S106" s="17"/>
    </row>
    <row r="107" spans="1:21" x14ac:dyDescent="0.25">
      <c r="A107" s="3" t="s">
        <v>130</v>
      </c>
      <c r="B107" s="4" t="s">
        <v>131</v>
      </c>
      <c r="C107" s="5" t="s">
        <v>27</v>
      </c>
      <c r="D107" s="6">
        <v>0</v>
      </c>
      <c r="E107" s="6">
        <v>0</v>
      </c>
      <c r="F107" s="6">
        <v>0</v>
      </c>
      <c r="G107" s="6">
        <v>24</v>
      </c>
      <c r="H107" s="6">
        <v>0</v>
      </c>
      <c r="I107" s="6">
        <v>0</v>
      </c>
      <c r="J107" s="6">
        <v>0</v>
      </c>
      <c r="K107" s="6">
        <v>0</v>
      </c>
      <c r="L107" s="6">
        <v>24</v>
      </c>
      <c r="M107" s="6">
        <v>0</v>
      </c>
      <c r="N107" s="6">
        <v>0</v>
      </c>
      <c r="O107" s="6">
        <v>0</v>
      </c>
      <c r="P107" s="18">
        <v>24</v>
      </c>
      <c r="Q107" s="19">
        <v>7</v>
      </c>
      <c r="R107" s="15">
        <v>0</v>
      </c>
      <c r="S107" s="20">
        <v>4.29</v>
      </c>
      <c r="U107" s="7">
        <f>IF(R107="",0,R107)*S107</f>
        <v>0</v>
      </c>
    </row>
    <row r="108" spans="1:21" x14ac:dyDescent="0.25">
      <c r="A108" s="8" t="s">
        <v>132</v>
      </c>
      <c r="B108" s="9"/>
      <c r="C108" s="10" t="s">
        <v>29</v>
      </c>
      <c r="D108" s="11">
        <v>8</v>
      </c>
      <c r="E108" s="11">
        <v>2</v>
      </c>
      <c r="F108" s="11">
        <v>25</v>
      </c>
      <c r="G108" s="11">
        <v>2</v>
      </c>
      <c r="H108" s="11">
        <v>5</v>
      </c>
      <c r="I108" s="11">
        <v>6</v>
      </c>
      <c r="J108" s="11">
        <v>2</v>
      </c>
      <c r="K108" s="11">
        <v>4</v>
      </c>
      <c r="L108" s="11">
        <v>3</v>
      </c>
      <c r="M108" s="11">
        <v>6</v>
      </c>
      <c r="N108" s="11">
        <v>5</v>
      </c>
      <c r="O108" s="11">
        <v>8</v>
      </c>
      <c r="P108" s="16"/>
      <c r="Q108" s="16"/>
      <c r="R108" s="16"/>
      <c r="S108" s="16"/>
    </row>
    <row r="109" spans="1:21" x14ac:dyDescent="0.25">
      <c r="A109" s="12"/>
      <c r="B109" s="12"/>
      <c r="C109" s="13" t="s">
        <v>30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7"/>
      <c r="Q109" s="17"/>
      <c r="R109" s="17"/>
      <c r="S109" s="17"/>
    </row>
    <row r="110" spans="1:21" x14ac:dyDescent="0.25">
      <c r="A110" s="3" t="s">
        <v>133</v>
      </c>
      <c r="B110" s="4" t="s">
        <v>134</v>
      </c>
      <c r="C110" s="5" t="s">
        <v>27</v>
      </c>
      <c r="D110" s="6">
        <v>0</v>
      </c>
      <c r="E110" s="6">
        <v>0</v>
      </c>
      <c r="F110" s="6">
        <v>40</v>
      </c>
      <c r="G110" s="6">
        <v>0</v>
      </c>
      <c r="H110" s="6">
        <v>0</v>
      </c>
      <c r="I110" s="6">
        <v>0</v>
      </c>
      <c r="J110" s="6">
        <v>40</v>
      </c>
      <c r="K110" s="6">
        <v>0</v>
      </c>
      <c r="L110" s="6">
        <v>40</v>
      </c>
      <c r="M110" s="6">
        <v>0</v>
      </c>
      <c r="N110" s="6">
        <v>40</v>
      </c>
      <c r="O110" s="6">
        <v>0</v>
      </c>
      <c r="P110" s="18">
        <v>40</v>
      </c>
      <c r="Q110" s="19">
        <v>18</v>
      </c>
      <c r="R110" s="15">
        <v>0</v>
      </c>
      <c r="S110" s="20">
        <v>3.33</v>
      </c>
      <c r="U110" s="7">
        <f>IF(R110="",0,R110)*S110</f>
        <v>0</v>
      </c>
    </row>
    <row r="111" spans="1:21" x14ac:dyDescent="0.25">
      <c r="A111" s="8" t="s">
        <v>135</v>
      </c>
      <c r="B111" s="9"/>
      <c r="C111" s="10" t="s">
        <v>29</v>
      </c>
      <c r="D111" s="11">
        <v>14</v>
      </c>
      <c r="E111" s="11">
        <v>19</v>
      </c>
      <c r="F111" s="11">
        <v>13</v>
      </c>
      <c r="G111" s="11">
        <v>5</v>
      </c>
      <c r="H111" s="11">
        <v>7</v>
      </c>
      <c r="I111" s="11">
        <v>12</v>
      </c>
      <c r="J111" s="11">
        <v>11</v>
      </c>
      <c r="K111" s="11">
        <v>20</v>
      </c>
      <c r="L111" s="11">
        <v>20</v>
      </c>
      <c r="M111" s="11">
        <v>26</v>
      </c>
      <c r="N111" s="11">
        <v>19</v>
      </c>
      <c r="O111" s="11">
        <v>9</v>
      </c>
      <c r="P111" s="16"/>
      <c r="Q111" s="16"/>
      <c r="R111" s="16"/>
      <c r="S111" s="16"/>
    </row>
    <row r="112" spans="1:21" x14ac:dyDescent="0.25">
      <c r="A112" s="12"/>
      <c r="B112" s="12"/>
      <c r="C112" s="13" t="s">
        <v>30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7"/>
      <c r="Q112" s="17"/>
      <c r="R112" s="17"/>
      <c r="S112" s="17"/>
    </row>
    <row r="113" spans="1:21" x14ac:dyDescent="0.25">
      <c r="A113" s="3" t="s">
        <v>136</v>
      </c>
      <c r="B113" s="4" t="s">
        <v>137</v>
      </c>
      <c r="C113" s="5" t="s">
        <v>27</v>
      </c>
      <c r="D113" s="6">
        <v>0</v>
      </c>
      <c r="E113" s="6">
        <v>0</v>
      </c>
      <c r="F113" s="6">
        <v>60</v>
      </c>
      <c r="G113" s="6">
        <v>0</v>
      </c>
      <c r="H113" s="6">
        <v>0</v>
      </c>
      <c r="I113" s="6">
        <v>30</v>
      </c>
      <c r="J113" s="6">
        <v>0</v>
      </c>
      <c r="K113" s="6">
        <v>0</v>
      </c>
      <c r="L113" s="6">
        <v>0</v>
      </c>
      <c r="M113" s="6">
        <v>30</v>
      </c>
      <c r="N113" s="6">
        <v>30</v>
      </c>
      <c r="O113" s="6">
        <v>0</v>
      </c>
      <c r="P113" s="18">
        <v>30</v>
      </c>
      <c r="Q113" s="19">
        <v>16</v>
      </c>
      <c r="R113" s="15">
        <v>0</v>
      </c>
      <c r="S113" s="20">
        <v>2.4900000000000002</v>
      </c>
      <c r="U113" s="7">
        <f>IF(R113="",0,R113)*S113</f>
        <v>0</v>
      </c>
    </row>
    <row r="114" spans="1:21" x14ac:dyDescent="0.25">
      <c r="A114" s="8" t="s">
        <v>138</v>
      </c>
      <c r="B114" s="9"/>
      <c r="C114" s="10" t="s">
        <v>29</v>
      </c>
      <c r="D114" s="11">
        <v>29</v>
      </c>
      <c r="E114" s="11">
        <v>25</v>
      </c>
      <c r="F114" s="11">
        <v>30</v>
      </c>
      <c r="G114" s="11">
        <v>29</v>
      </c>
      <c r="H114" s="11">
        <v>23</v>
      </c>
      <c r="I114" s="11">
        <v>30</v>
      </c>
      <c r="J114" s="11">
        <v>16</v>
      </c>
      <c r="K114" s="11">
        <v>28</v>
      </c>
      <c r="L114" s="11">
        <v>0</v>
      </c>
      <c r="M114" s="11">
        <v>7</v>
      </c>
      <c r="N114" s="11">
        <v>20</v>
      </c>
      <c r="O114" s="11">
        <v>17</v>
      </c>
      <c r="P114" s="16"/>
      <c r="Q114" s="16"/>
      <c r="R114" s="16"/>
      <c r="S114" s="16"/>
    </row>
    <row r="115" spans="1:21" x14ac:dyDescent="0.25">
      <c r="A115" s="12"/>
      <c r="B115" s="12"/>
      <c r="C115" s="13" t="s">
        <v>30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7"/>
      <c r="Q115" s="17"/>
      <c r="R115" s="17"/>
      <c r="S115" s="17"/>
    </row>
    <row r="116" spans="1:21" x14ac:dyDescent="0.25">
      <c r="A116" s="3" t="s">
        <v>139</v>
      </c>
      <c r="B116" s="4" t="s">
        <v>140</v>
      </c>
      <c r="C116" s="5" t="s">
        <v>27</v>
      </c>
      <c r="D116" s="6">
        <v>4</v>
      </c>
      <c r="E116" s="6">
        <v>4</v>
      </c>
      <c r="F116" s="6">
        <v>8</v>
      </c>
      <c r="G116" s="6">
        <v>8</v>
      </c>
      <c r="H116" s="6">
        <v>0</v>
      </c>
      <c r="I116" s="6">
        <v>0</v>
      </c>
      <c r="J116" s="6">
        <v>0</v>
      </c>
      <c r="K116" s="6">
        <v>6</v>
      </c>
      <c r="L116" s="6">
        <v>0</v>
      </c>
      <c r="M116" s="6">
        <v>6</v>
      </c>
      <c r="N116" s="6">
        <v>0</v>
      </c>
      <c r="O116" s="6">
        <v>0</v>
      </c>
      <c r="P116" s="18">
        <v>4</v>
      </c>
      <c r="Q116" s="19">
        <v>5</v>
      </c>
      <c r="R116" s="15">
        <v>0</v>
      </c>
      <c r="S116" s="20">
        <v>29.49</v>
      </c>
      <c r="U116" s="7">
        <f>IF(R116="",0,R116)*S116</f>
        <v>0</v>
      </c>
    </row>
    <row r="117" spans="1:21" x14ac:dyDescent="0.25">
      <c r="A117" s="8" t="s">
        <v>141</v>
      </c>
      <c r="B117" s="9"/>
      <c r="C117" s="10" t="s">
        <v>29</v>
      </c>
      <c r="D117" s="11">
        <v>3</v>
      </c>
      <c r="E117" s="11">
        <v>6</v>
      </c>
      <c r="F117" s="11">
        <v>4</v>
      </c>
      <c r="G117" s="11">
        <v>4</v>
      </c>
      <c r="H117" s="11">
        <v>3</v>
      </c>
      <c r="I117" s="11">
        <v>9</v>
      </c>
      <c r="J117" s="11">
        <v>2</v>
      </c>
      <c r="K117" s="11">
        <v>0</v>
      </c>
      <c r="L117" s="11">
        <v>1</v>
      </c>
      <c r="M117" s="11">
        <v>5</v>
      </c>
      <c r="N117" s="11">
        <v>1</v>
      </c>
      <c r="O117" s="11">
        <v>0</v>
      </c>
      <c r="P117" s="16"/>
      <c r="Q117" s="16"/>
      <c r="R117" s="16"/>
      <c r="S117" s="16"/>
    </row>
    <row r="118" spans="1:21" x14ac:dyDescent="0.25">
      <c r="A118" s="12"/>
      <c r="B118" s="12"/>
      <c r="C118" s="13" t="s">
        <v>30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7"/>
      <c r="Q118" s="17"/>
      <c r="R118" s="17"/>
      <c r="S118" s="17"/>
    </row>
    <row r="119" spans="1:21" x14ac:dyDescent="0.25">
      <c r="A119" s="3" t="s">
        <v>142</v>
      </c>
      <c r="B119" s="4" t="s">
        <v>143</v>
      </c>
      <c r="C119" s="5" t="s">
        <v>27</v>
      </c>
      <c r="D119" s="6">
        <v>4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18">
        <v>4</v>
      </c>
      <c r="Q119" s="19">
        <v>0</v>
      </c>
      <c r="R119" s="15">
        <v>0</v>
      </c>
      <c r="S119" s="20">
        <v>24.18</v>
      </c>
      <c r="U119" s="7">
        <f>IF(R119="",0,R119)*S119</f>
        <v>0</v>
      </c>
    </row>
    <row r="120" spans="1:21" x14ac:dyDescent="0.25">
      <c r="A120" s="8" t="s">
        <v>144</v>
      </c>
      <c r="B120" s="9"/>
      <c r="C120" s="10" t="s">
        <v>29</v>
      </c>
      <c r="D120" s="11">
        <v>2</v>
      </c>
      <c r="E120" s="11">
        <v>2</v>
      </c>
      <c r="F120" s="11">
        <v>3</v>
      </c>
      <c r="G120" s="11">
        <v>2</v>
      </c>
      <c r="H120" s="11">
        <v>2</v>
      </c>
      <c r="I120" s="11">
        <v>3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6"/>
      <c r="Q120" s="16"/>
      <c r="R120" s="16"/>
      <c r="S120" s="16"/>
    </row>
    <row r="121" spans="1:21" x14ac:dyDescent="0.25">
      <c r="A121" s="12"/>
      <c r="B121" s="12"/>
      <c r="C121" s="13" t="s">
        <v>30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7"/>
      <c r="Q121" s="17"/>
      <c r="R121" s="17"/>
      <c r="S121" s="17"/>
    </row>
    <row r="122" spans="1:21" x14ac:dyDescent="0.25">
      <c r="A122" s="3" t="s">
        <v>145</v>
      </c>
      <c r="B122" s="4" t="s">
        <v>146</v>
      </c>
      <c r="C122" s="5" t="s">
        <v>27</v>
      </c>
      <c r="D122" s="6">
        <v>0</v>
      </c>
      <c r="E122" s="6">
        <v>32</v>
      </c>
      <c r="F122" s="6">
        <v>0</v>
      </c>
      <c r="G122" s="6">
        <v>0</v>
      </c>
      <c r="H122" s="6">
        <v>0</v>
      </c>
      <c r="I122" s="6">
        <v>32</v>
      </c>
      <c r="J122" s="6">
        <v>32</v>
      </c>
      <c r="K122" s="6">
        <v>32</v>
      </c>
      <c r="L122" s="6">
        <v>32</v>
      </c>
      <c r="M122" s="6">
        <v>0</v>
      </c>
      <c r="N122" s="6">
        <v>32</v>
      </c>
      <c r="O122" s="6">
        <v>0</v>
      </c>
      <c r="P122" s="18">
        <v>32</v>
      </c>
      <c r="Q122" s="19">
        <v>34</v>
      </c>
      <c r="R122" s="15">
        <v>0</v>
      </c>
      <c r="S122" s="20">
        <v>1.78125</v>
      </c>
      <c r="U122" s="7">
        <f>IF(R122="",0,R122)*S122</f>
        <v>0</v>
      </c>
    </row>
    <row r="123" spans="1:21" x14ac:dyDescent="0.25">
      <c r="A123" s="8" t="s">
        <v>147</v>
      </c>
      <c r="B123" s="9"/>
      <c r="C123" s="10" t="s">
        <v>29</v>
      </c>
      <c r="D123" s="11">
        <v>12</v>
      </c>
      <c r="E123" s="11">
        <v>12</v>
      </c>
      <c r="F123" s="11">
        <v>11</v>
      </c>
      <c r="G123" s="11">
        <v>11</v>
      </c>
      <c r="H123" s="11">
        <v>20</v>
      </c>
      <c r="I123" s="11">
        <v>17</v>
      </c>
      <c r="J123" s="11">
        <v>38</v>
      </c>
      <c r="K123" s="11">
        <v>19</v>
      </c>
      <c r="L123" s="11">
        <v>21</v>
      </c>
      <c r="M123" s="11">
        <v>7</v>
      </c>
      <c r="N123" s="11">
        <v>13</v>
      </c>
      <c r="O123" s="11">
        <v>11</v>
      </c>
      <c r="P123" s="16"/>
      <c r="Q123" s="16"/>
      <c r="R123" s="16"/>
      <c r="S123" s="16"/>
    </row>
    <row r="124" spans="1:21" x14ac:dyDescent="0.25">
      <c r="A124" s="12"/>
      <c r="B124" s="12"/>
      <c r="C124" s="13" t="s">
        <v>30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7"/>
      <c r="Q124" s="17"/>
      <c r="R124" s="17"/>
      <c r="S124" s="17"/>
    </row>
    <row r="125" spans="1:21" x14ac:dyDescent="0.25">
      <c r="A125" s="3" t="s">
        <v>148</v>
      </c>
      <c r="B125" s="4" t="s">
        <v>149</v>
      </c>
      <c r="C125" s="5" t="s">
        <v>27</v>
      </c>
      <c r="D125" s="6">
        <v>40</v>
      </c>
      <c r="E125" s="6">
        <v>40</v>
      </c>
      <c r="F125" s="6">
        <v>80</v>
      </c>
      <c r="G125" s="6">
        <v>40</v>
      </c>
      <c r="H125" s="6">
        <v>0</v>
      </c>
      <c r="I125" s="6">
        <v>40</v>
      </c>
      <c r="J125" s="6">
        <v>40</v>
      </c>
      <c r="K125" s="6">
        <v>40</v>
      </c>
      <c r="L125" s="6">
        <v>40</v>
      </c>
      <c r="M125" s="6">
        <v>40</v>
      </c>
      <c r="N125" s="6">
        <v>40</v>
      </c>
      <c r="O125" s="6">
        <v>40</v>
      </c>
      <c r="P125" s="18">
        <v>40</v>
      </c>
      <c r="Q125" s="19">
        <v>46</v>
      </c>
      <c r="R125" s="15">
        <v>0</v>
      </c>
      <c r="S125" s="20">
        <v>1.61</v>
      </c>
      <c r="U125" s="7">
        <f>IF(R125="",0,R125)*S125</f>
        <v>0</v>
      </c>
    </row>
    <row r="126" spans="1:21" x14ac:dyDescent="0.25">
      <c r="A126" s="8" t="s">
        <v>150</v>
      </c>
      <c r="B126" s="9"/>
      <c r="C126" s="10" t="s">
        <v>29</v>
      </c>
      <c r="D126" s="11">
        <v>30</v>
      </c>
      <c r="E126" s="11">
        <v>47</v>
      </c>
      <c r="F126" s="11">
        <v>60</v>
      </c>
      <c r="G126" s="11">
        <v>33</v>
      </c>
      <c r="H126" s="11">
        <v>23</v>
      </c>
      <c r="I126" s="11">
        <v>31</v>
      </c>
      <c r="J126" s="11">
        <v>34</v>
      </c>
      <c r="K126" s="11">
        <v>34</v>
      </c>
      <c r="L126" s="11">
        <v>22</v>
      </c>
      <c r="M126" s="11">
        <v>43</v>
      </c>
      <c r="N126" s="11">
        <v>28</v>
      </c>
      <c r="O126" s="11">
        <v>49</v>
      </c>
      <c r="P126" s="16"/>
      <c r="Q126" s="16"/>
      <c r="R126" s="16"/>
      <c r="S126" s="16"/>
    </row>
    <row r="127" spans="1:21" x14ac:dyDescent="0.25">
      <c r="A127" s="12"/>
      <c r="B127" s="12"/>
      <c r="C127" s="13" t="s">
        <v>30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7"/>
      <c r="Q127" s="17"/>
      <c r="R127" s="17"/>
      <c r="S127" s="17"/>
    </row>
    <row r="128" spans="1:21" x14ac:dyDescent="0.25">
      <c r="A128" s="3" t="s">
        <v>151</v>
      </c>
      <c r="B128" s="4" t="s">
        <v>152</v>
      </c>
      <c r="C128" s="5" t="s">
        <v>27</v>
      </c>
      <c r="D128" s="6">
        <v>120</v>
      </c>
      <c r="E128" s="6">
        <v>60</v>
      </c>
      <c r="F128" s="6">
        <v>0</v>
      </c>
      <c r="G128" s="6">
        <v>60</v>
      </c>
      <c r="H128" s="6">
        <v>60</v>
      </c>
      <c r="I128" s="6">
        <v>120</v>
      </c>
      <c r="J128" s="6">
        <v>0</v>
      </c>
      <c r="K128" s="6">
        <v>0</v>
      </c>
      <c r="L128" s="6">
        <v>60</v>
      </c>
      <c r="M128" s="6">
        <v>120</v>
      </c>
      <c r="N128" s="6">
        <v>60</v>
      </c>
      <c r="O128" s="6">
        <v>60</v>
      </c>
      <c r="P128" s="18">
        <v>60</v>
      </c>
      <c r="Q128" s="19">
        <v>88</v>
      </c>
      <c r="R128" s="15">
        <v>0</v>
      </c>
      <c r="S128" s="20">
        <v>1.623</v>
      </c>
      <c r="U128" s="7">
        <f>IF(R128="",0,R128)*S128</f>
        <v>0</v>
      </c>
    </row>
    <row r="129" spans="1:21" x14ac:dyDescent="0.25">
      <c r="A129" s="8" t="s">
        <v>153</v>
      </c>
      <c r="B129" s="9"/>
      <c r="C129" s="10" t="s">
        <v>29</v>
      </c>
      <c r="D129" s="11">
        <v>93</v>
      </c>
      <c r="E129" s="11">
        <v>59</v>
      </c>
      <c r="F129" s="11">
        <v>82</v>
      </c>
      <c r="G129" s="11">
        <v>45</v>
      </c>
      <c r="H129" s="11">
        <v>60</v>
      </c>
      <c r="I129" s="11">
        <v>51</v>
      </c>
      <c r="J129" s="11">
        <v>70</v>
      </c>
      <c r="K129" s="11">
        <v>43</v>
      </c>
      <c r="L129" s="11">
        <v>45</v>
      </c>
      <c r="M129" s="11">
        <v>61</v>
      </c>
      <c r="N129" s="11">
        <v>52</v>
      </c>
      <c r="O129" s="11">
        <v>54</v>
      </c>
      <c r="P129" s="16"/>
      <c r="Q129" s="16"/>
      <c r="R129" s="16"/>
      <c r="S129" s="16"/>
    </row>
    <row r="130" spans="1:21" x14ac:dyDescent="0.25">
      <c r="A130" s="12"/>
      <c r="B130" s="12"/>
      <c r="C130" s="13" t="s">
        <v>30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7"/>
      <c r="Q130" s="17"/>
      <c r="R130" s="17"/>
      <c r="S130" s="17"/>
    </row>
    <row r="131" spans="1:21" x14ac:dyDescent="0.25">
      <c r="A131" s="3" t="s">
        <v>154</v>
      </c>
      <c r="B131" s="4" t="s">
        <v>155</v>
      </c>
      <c r="C131" s="5" t="s">
        <v>27</v>
      </c>
      <c r="D131" s="6">
        <v>27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18">
        <v>27</v>
      </c>
      <c r="Q131" s="19">
        <v>0</v>
      </c>
      <c r="R131" s="15">
        <v>0</v>
      </c>
      <c r="S131" s="20">
        <v>7.69</v>
      </c>
      <c r="U131" s="7">
        <f>IF(R131="",0,R131)*S131</f>
        <v>0</v>
      </c>
    </row>
    <row r="132" spans="1:21" x14ac:dyDescent="0.25">
      <c r="A132" s="8" t="s">
        <v>156</v>
      </c>
      <c r="B132" s="9"/>
      <c r="C132" s="10" t="s">
        <v>29</v>
      </c>
      <c r="D132" s="11">
        <v>3</v>
      </c>
      <c r="E132" s="11">
        <v>0</v>
      </c>
      <c r="F132" s="11">
        <v>4</v>
      </c>
      <c r="G132" s="11">
        <v>4</v>
      </c>
      <c r="H132" s="11">
        <v>5</v>
      </c>
      <c r="I132" s="11">
        <v>2</v>
      </c>
      <c r="J132" s="11">
        <v>2</v>
      </c>
      <c r="K132" s="11">
        <v>4</v>
      </c>
      <c r="L132" s="11">
        <v>2</v>
      </c>
      <c r="M132" s="11">
        <v>3</v>
      </c>
      <c r="N132" s="11">
        <v>0</v>
      </c>
      <c r="O132" s="11">
        <v>4</v>
      </c>
      <c r="P132" s="16"/>
      <c r="Q132" s="16"/>
      <c r="R132" s="16"/>
      <c r="S132" s="16"/>
    </row>
    <row r="133" spans="1:21" x14ac:dyDescent="0.25">
      <c r="A133" s="12"/>
      <c r="B133" s="12"/>
      <c r="C133" s="13" t="s">
        <v>30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7"/>
      <c r="Q133" s="17"/>
      <c r="R133" s="17"/>
      <c r="S133" s="17"/>
    </row>
    <row r="134" spans="1:21" x14ac:dyDescent="0.25">
      <c r="A134" s="3" t="s">
        <v>157</v>
      </c>
      <c r="B134" s="4" t="s">
        <v>158</v>
      </c>
      <c r="C134" s="5" t="s">
        <v>27</v>
      </c>
      <c r="D134" s="6">
        <v>0</v>
      </c>
      <c r="E134" s="6">
        <v>40</v>
      </c>
      <c r="F134" s="6">
        <v>0</v>
      </c>
      <c r="G134" s="6">
        <v>20</v>
      </c>
      <c r="H134" s="6">
        <v>20</v>
      </c>
      <c r="I134" s="6">
        <v>0</v>
      </c>
      <c r="J134" s="6">
        <v>0</v>
      </c>
      <c r="K134" s="6">
        <v>0</v>
      </c>
      <c r="L134" s="6">
        <v>20</v>
      </c>
      <c r="M134" s="6">
        <v>20</v>
      </c>
      <c r="N134" s="6">
        <v>0</v>
      </c>
      <c r="O134" s="6">
        <v>0</v>
      </c>
      <c r="P134" s="18">
        <v>20</v>
      </c>
      <c r="Q134" s="19">
        <v>17</v>
      </c>
      <c r="R134" s="15">
        <v>0</v>
      </c>
      <c r="S134" s="20">
        <v>4.9390000000000001</v>
      </c>
      <c r="U134" s="7">
        <f>IF(R134="",0,R134)*S134</f>
        <v>0</v>
      </c>
    </row>
    <row r="135" spans="1:21" x14ac:dyDescent="0.25">
      <c r="A135" s="8" t="s">
        <v>159</v>
      </c>
      <c r="B135" s="9"/>
      <c r="C135" s="10" t="s">
        <v>29</v>
      </c>
      <c r="D135" s="11">
        <v>10</v>
      </c>
      <c r="E135" s="11">
        <v>23</v>
      </c>
      <c r="F135" s="11">
        <v>15</v>
      </c>
      <c r="G135" s="11">
        <v>32</v>
      </c>
      <c r="H135" s="11">
        <v>8</v>
      </c>
      <c r="I135" s="11">
        <v>5</v>
      </c>
      <c r="J135" s="11">
        <v>1</v>
      </c>
      <c r="K135" s="11">
        <v>4</v>
      </c>
      <c r="L135" s="11">
        <v>7</v>
      </c>
      <c r="M135" s="11">
        <v>10</v>
      </c>
      <c r="N135" s="11">
        <v>6</v>
      </c>
      <c r="O135" s="11">
        <v>2</v>
      </c>
      <c r="P135" s="16"/>
      <c r="Q135" s="16"/>
      <c r="R135" s="16"/>
      <c r="S135" s="16"/>
    </row>
    <row r="136" spans="1:21" x14ac:dyDescent="0.25">
      <c r="A136" s="12"/>
      <c r="B136" s="12"/>
      <c r="C136" s="13" t="s">
        <v>30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7"/>
      <c r="Q136" s="17"/>
      <c r="R136" s="17"/>
      <c r="S136" s="17"/>
    </row>
    <row r="137" spans="1:21" x14ac:dyDescent="0.25">
      <c r="A137" s="3" t="s">
        <v>160</v>
      </c>
      <c r="B137" s="4" t="s">
        <v>161</v>
      </c>
      <c r="C137" s="5" t="s">
        <v>27</v>
      </c>
      <c r="D137" s="6">
        <v>0</v>
      </c>
      <c r="E137" s="6">
        <v>0</v>
      </c>
      <c r="F137" s="6">
        <v>0</v>
      </c>
      <c r="G137" s="6">
        <v>0</v>
      </c>
      <c r="H137" s="6">
        <v>20</v>
      </c>
      <c r="I137" s="6">
        <v>20</v>
      </c>
      <c r="J137" s="6">
        <v>20</v>
      </c>
      <c r="K137" s="6">
        <v>0</v>
      </c>
      <c r="L137" s="6">
        <v>0</v>
      </c>
      <c r="M137" s="6">
        <v>20</v>
      </c>
      <c r="N137" s="6">
        <v>0</v>
      </c>
      <c r="O137" s="6">
        <v>0</v>
      </c>
      <c r="P137" s="18">
        <v>20</v>
      </c>
      <c r="Q137" s="19">
        <v>11</v>
      </c>
      <c r="R137" s="15">
        <v>0</v>
      </c>
      <c r="S137" s="20">
        <v>2.19</v>
      </c>
      <c r="U137" s="7">
        <f>IF(R137="",0,R137)*S137</f>
        <v>0</v>
      </c>
    </row>
    <row r="138" spans="1:21" x14ac:dyDescent="0.25">
      <c r="A138" s="8" t="s">
        <v>162</v>
      </c>
      <c r="B138" s="9"/>
      <c r="C138" s="10" t="s">
        <v>29</v>
      </c>
      <c r="D138" s="11">
        <v>0</v>
      </c>
      <c r="E138" s="11">
        <v>0</v>
      </c>
      <c r="F138" s="11">
        <v>0</v>
      </c>
      <c r="G138" s="11">
        <v>0</v>
      </c>
      <c r="H138" s="11">
        <v>13</v>
      </c>
      <c r="I138" s="11">
        <v>13</v>
      </c>
      <c r="J138" s="11">
        <v>7</v>
      </c>
      <c r="K138" s="11">
        <v>5</v>
      </c>
      <c r="L138" s="11">
        <v>11</v>
      </c>
      <c r="M138" s="11">
        <v>8</v>
      </c>
      <c r="N138" s="11">
        <v>10</v>
      </c>
      <c r="O138" s="11">
        <v>2</v>
      </c>
      <c r="P138" s="16"/>
      <c r="Q138" s="16"/>
      <c r="R138" s="16"/>
      <c r="S138" s="16"/>
    </row>
    <row r="139" spans="1:21" x14ac:dyDescent="0.25">
      <c r="A139" s="12"/>
      <c r="B139" s="12"/>
      <c r="C139" s="13" t="s">
        <v>30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7"/>
      <c r="Q139" s="17"/>
      <c r="R139" s="17"/>
      <c r="S139" s="17"/>
    </row>
    <row r="140" spans="1:21" x14ac:dyDescent="0.25">
      <c r="A140" s="3" t="s">
        <v>163</v>
      </c>
      <c r="B140" s="4" t="s">
        <v>164</v>
      </c>
      <c r="C140" s="5" t="s">
        <v>27</v>
      </c>
      <c r="D140" s="6">
        <v>0</v>
      </c>
      <c r="E140" s="6">
        <v>80</v>
      </c>
      <c r="F140" s="6">
        <v>0</v>
      </c>
      <c r="G140" s="6">
        <v>40</v>
      </c>
      <c r="H140" s="6">
        <v>0</v>
      </c>
      <c r="I140" s="6">
        <v>0</v>
      </c>
      <c r="J140" s="6">
        <v>40</v>
      </c>
      <c r="K140" s="6">
        <v>0</v>
      </c>
      <c r="L140" s="6">
        <v>20</v>
      </c>
      <c r="M140" s="6">
        <v>20</v>
      </c>
      <c r="N140" s="6">
        <v>20</v>
      </c>
      <c r="O140" s="6">
        <v>0</v>
      </c>
      <c r="P140" s="18">
        <v>20</v>
      </c>
      <c r="Q140" s="19">
        <v>15</v>
      </c>
      <c r="R140" s="15">
        <v>0</v>
      </c>
      <c r="S140" s="20">
        <v>2.72</v>
      </c>
      <c r="U140" s="7">
        <f>IF(R140="",0,R140)*S140</f>
        <v>0</v>
      </c>
    </row>
    <row r="141" spans="1:21" x14ac:dyDescent="0.25">
      <c r="A141" s="8" t="s">
        <v>165</v>
      </c>
      <c r="B141" s="9"/>
      <c r="C141" s="10" t="s">
        <v>29</v>
      </c>
      <c r="D141" s="11">
        <v>20</v>
      </c>
      <c r="E141" s="11">
        <v>11</v>
      </c>
      <c r="F141" s="11">
        <v>47</v>
      </c>
      <c r="G141" s="11">
        <v>29</v>
      </c>
      <c r="H141" s="11">
        <v>30</v>
      </c>
      <c r="I141" s="11">
        <v>18</v>
      </c>
      <c r="J141" s="11">
        <v>25</v>
      </c>
      <c r="K141" s="11">
        <v>23</v>
      </c>
      <c r="L141" s="11">
        <v>7</v>
      </c>
      <c r="M141" s="11">
        <v>16</v>
      </c>
      <c r="N141" s="11">
        <v>12</v>
      </c>
      <c r="O141" s="11">
        <v>10</v>
      </c>
      <c r="P141" s="16"/>
      <c r="Q141" s="16"/>
      <c r="R141" s="16"/>
      <c r="S141" s="16"/>
    </row>
    <row r="142" spans="1:21" x14ac:dyDescent="0.25">
      <c r="A142" s="12"/>
      <c r="B142" s="12"/>
      <c r="C142" s="13" t="s">
        <v>30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7"/>
      <c r="Q142" s="17"/>
      <c r="R142" s="17"/>
      <c r="S142" s="17"/>
    </row>
    <row r="143" spans="1:21" x14ac:dyDescent="0.25">
      <c r="A143" s="3" t="s">
        <v>166</v>
      </c>
      <c r="B143" s="4" t="s">
        <v>167</v>
      </c>
      <c r="C143" s="5" t="s">
        <v>27</v>
      </c>
      <c r="D143" s="6">
        <v>40</v>
      </c>
      <c r="E143" s="6">
        <v>20</v>
      </c>
      <c r="F143" s="6">
        <v>60</v>
      </c>
      <c r="G143" s="6">
        <v>40</v>
      </c>
      <c r="H143" s="6">
        <v>60</v>
      </c>
      <c r="I143" s="6">
        <v>40</v>
      </c>
      <c r="J143" s="6">
        <v>60</v>
      </c>
      <c r="K143" s="6">
        <v>80</v>
      </c>
      <c r="L143" s="6">
        <v>0</v>
      </c>
      <c r="M143" s="6">
        <v>0</v>
      </c>
      <c r="N143" s="6">
        <v>20</v>
      </c>
      <c r="O143" s="6">
        <v>0</v>
      </c>
      <c r="P143" s="18">
        <v>20</v>
      </c>
      <c r="Q143" s="19">
        <v>13</v>
      </c>
      <c r="R143" s="15">
        <v>0</v>
      </c>
      <c r="S143" s="20">
        <v>2.59</v>
      </c>
      <c r="U143" s="7">
        <f>IF(R143="",0,R143)*S143</f>
        <v>0</v>
      </c>
    </row>
    <row r="144" spans="1:21" x14ac:dyDescent="0.25">
      <c r="A144" s="8" t="s">
        <v>168</v>
      </c>
      <c r="B144" s="9"/>
      <c r="C144" s="10" t="s">
        <v>29</v>
      </c>
      <c r="D144" s="11">
        <v>23</v>
      </c>
      <c r="E144" s="11">
        <v>36</v>
      </c>
      <c r="F144" s="11">
        <v>40</v>
      </c>
      <c r="G144" s="11">
        <v>48</v>
      </c>
      <c r="H144" s="11">
        <v>68</v>
      </c>
      <c r="I144" s="11">
        <v>35</v>
      </c>
      <c r="J144" s="11">
        <v>41</v>
      </c>
      <c r="K144" s="11">
        <v>30</v>
      </c>
      <c r="L144" s="11">
        <v>20</v>
      </c>
      <c r="M144" s="11">
        <v>18</v>
      </c>
      <c r="N144" s="11">
        <v>30</v>
      </c>
      <c r="O144" s="11">
        <v>18</v>
      </c>
      <c r="P144" s="16"/>
      <c r="Q144" s="16"/>
      <c r="R144" s="16"/>
      <c r="S144" s="16"/>
    </row>
    <row r="145" spans="1:21" x14ac:dyDescent="0.25">
      <c r="A145" s="12"/>
      <c r="B145" s="12"/>
      <c r="C145" s="13" t="s">
        <v>30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7"/>
      <c r="Q145" s="17"/>
      <c r="R145" s="17"/>
      <c r="S145" s="17"/>
    </row>
    <row r="146" spans="1:21" x14ac:dyDescent="0.25">
      <c r="A146" s="3" t="s">
        <v>169</v>
      </c>
      <c r="B146" s="4" t="s">
        <v>170</v>
      </c>
      <c r="C146" s="5" t="s">
        <v>27</v>
      </c>
      <c r="D146" s="6">
        <v>0</v>
      </c>
      <c r="E146" s="6">
        <v>12</v>
      </c>
      <c r="F146" s="6">
        <v>0</v>
      </c>
      <c r="G146" s="6">
        <v>12</v>
      </c>
      <c r="H146" s="6">
        <v>12</v>
      </c>
      <c r="I146" s="6">
        <v>0</v>
      </c>
      <c r="J146" s="6">
        <v>12</v>
      </c>
      <c r="K146" s="6">
        <v>0</v>
      </c>
      <c r="L146" s="6">
        <v>12</v>
      </c>
      <c r="M146" s="6">
        <v>12</v>
      </c>
      <c r="N146" s="6">
        <v>12</v>
      </c>
      <c r="O146" s="6">
        <v>0</v>
      </c>
      <c r="P146" s="18">
        <v>12</v>
      </c>
      <c r="Q146" s="19">
        <v>12</v>
      </c>
      <c r="R146" s="15">
        <v>0</v>
      </c>
      <c r="S146" s="20">
        <v>7.65</v>
      </c>
      <c r="U146" s="7">
        <f>IF(R146="",0,R146)*S146</f>
        <v>0</v>
      </c>
    </row>
    <row r="147" spans="1:21" x14ac:dyDescent="0.25">
      <c r="A147" s="8" t="s">
        <v>171</v>
      </c>
      <c r="B147" s="9"/>
      <c r="C147" s="10" t="s">
        <v>29</v>
      </c>
      <c r="D147" s="11">
        <v>3</v>
      </c>
      <c r="E147" s="11">
        <v>6</v>
      </c>
      <c r="F147" s="11">
        <v>6</v>
      </c>
      <c r="G147" s="11">
        <v>6</v>
      </c>
      <c r="H147" s="11">
        <v>5</v>
      </c>
      <c r="I147" s="11">
        <v>7</v>
      </c>
      <c r="J147" s="11">
        <v>6</v>
      </c>
      <c r="K147" s="11">
        <v>8</v>
      </c>
      <c r="L147" s="11">
        <v>9</v>
      </c>
      <c r="M147" s="11">
        <v>9</v>
      </c>
      <c r="N147" s="11">
        <v>6</v>
      </c>
      <c r="O147" s="11">
        <v>4</v>
      </c>
      <c r="P147" s="16"/>
      <c r="Q147" s="16"/>
      <c r="R147" s="16"/>
      <c r="S147" s="16"/>
    </row>
    <row r="148" spans="1:21" x14ac:dyDescent="0.25">
      <c r="A148" s="12"/>
      <c r="B148" s="12"/>
      <c r="C148" s="13" t="s">
        <v>30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7"/>
      <c r="Q148" s="17"/>
      <c r="R148" s="17"/>
      <c r="S148" s="17"/>
    </row>
    <row r="149" spans="1:21" x14ac:dyDescent="0.25">
      <c r="A149" s="3" t="s">
        <v>172</v>
      </c>
      <c r="B149" s="4" t="s">
        <v>173</v>
      </c>
      <c r="C149" s="5" t="s">
        <v>27</v>
      </c>
      <c r="D149" s="6">
        <v>0</v>
      </c>
      <c r="E149" s="6">
        <v>0</v>
      </c>
      <c r="F149" s="6">
        <v>0</v>
      </c>
      <c r="G149" s="6">
        <v>12</v>
      </c>
      <c r="H149" s="6">
        <v>12</v>
      </c>
      <c r="I149" s="6">
        <v>0</v>
      </c>
      <c r="J149" s="6">
        <v>0</v>
      </c>
      <c r="K149" s="6">
        <v>12</v>
      </c>
      <c r="L149" s="6">
        <v>0</v>
      </c>
      <c r="M149" s="6">
        <v>0</v>
      </c>
      <c r="N149" s="6">
        <v>0</v>
      </c>
      <c r="O149" s="6">
        <v>0</v>
      </c>
      <c r="P149" s="18">
        <v>12</v>
      </c>
      <c r="Q149" s="19">
        <v>11</v>
      </c>
      <c r="R149" s="15">
        <v>0</v>
      </c>
      <c r="S149" s="20">
        <v>10.93</v>
      </c>
      <c r="U149" s="7">
        <f>IF(R149="",0,R149)*S149</f>
        <v>0</v>
      </c>
    </row>
    <row r="150" spans="1:21" x14ac:dyDescent="0.25">
      <c r="A150" s="8" t="s">
        <v>174</v>
      </c>
      <c r="B150" s="9"/>
      <c r="C150" s="10" t="s">
        <v>29</v>
      </c>
      <c r="D150" s="11">
        <v>3</v>
      </c>
      <c r="E150" s="11">
        <v>8</v>
      </c>
      <c r="F150" s="11">
        <v>8</v>
      </c>
      <c r="G150" s="11">
        <v>8</v>
      </c>
      <c r="H150" s="11">
        <v>4</v>
      </c>
      <c r="I150" s="11">
        <v>0</v>
      </c>
      <c r="J150" s="11">
        <v>0</v>
      </c>
      <c r="K150" s="11">
        <v>9</v>
      </c>
      <c r="L150" s="11">
        <v>0</v>
      </c>
      <c r="M150" s="11">
        <v>0</v>
      </c>
      <c r="N150" s="11">
        <v>2</v>
      </c>
      <c r="O150" s="11">
        <v>2</v>
      </c>
      <c r="P150" s="16"/>
      <c r="Q150" s="16"/>
      <c r="R150" s="16"/>
      <c r="S150" s="16"/>
    </row>
    <row r="151" spans="1:21" x14ac:dyDescent="0.25">
      <c r="A151" s="12"/>
      <c r="B151" s="12"/>
      <c r="C151" s="13" t="s">
        <v>30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7"/>
      <c r="Q151" s="17"/>
      <c r="R151" s="17"/>
      <c r="S151" s="17"/>
    </row>
    <row r="152" spans="1:21" x14ac:dyDescent="0.25">
      <c r="A152" s="3" t="s">
        <v>175</v>
      </c>
      <c r="B152" s="4" t="s">
        <v>176</v>
      </c>
      <c r="C152" s="5" t="s">
        <v>27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12</v>
      </c>
      <c r="N152" s="6">
        <v>0</v>
      </c>
      <c r="O152" s="6">
        <v>0</v>
      </c>
      <c r="P152" s="18">
        <v>12</v>
      </c>
      <c r="Q152" s="19">
        <v>0</v>
      </c>
      <c r="R152" s="15">
        <v>0</v>
      </c>
      <c r="S152" s="20">
        <v>4.4008330000000004</v>
      </c>
      <c r="U152" s="7">
        <f>IF(R152="",0,R152)*S152</f>
        <v>0</v>
      </c>
    </row>
    <row r="153" spans="1:21" x14ac:dyDescent="0.25">
      <c r="A153" s="8" t="s">
        <v>177</v>
      </c>
      <c r="B153" s="9"/>
      <c r="C153" s="10" t="s">
        <v>29</v>
      </c>
      <c r="D153" s="11">
        <v>1</v>
      </c>
      <c r="E153" s="11">
        <v>4</v>
      </c>
      <c r="F153" s="11">
        <v>6</v>
      </c>
      <c r="G153" s="11">
        <v>1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12</v>
      </c>
      <c r="N153" s="11">
        <v>0</v>
      </c>
      <c r="O153" s="11">
        <v>0</v>
      </c>
      <c r="P153" s="16"/>
      <c r="Q153" s="16"/>
      <c r="R153" s="16"/>
      <c r="S153" s="16"/>
    </row>
    <row r="154" spans="1:21" x14ac:dyDescent="0.25">
      <c r="A154" s="12"/>
      <c r="B154" s="12"/>
      <c r="C154" s="13" t="s">
        <v>30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7"/>
      <c r="Q154" s="17"/>
      <c r="R154" s="17"/>
      <c r="S154" s="17"/>
    </row>
    <row r="155" spans="1:21" x14ac:dyDescent="0.25">
      <c r="A155" s="3" t="s">
        <v>178</v>
      </c>
      <c r="B155" s="4" t="s">
        <v>179</v>
      </c>
      <c r="C155" s="5" t="s">
        <v>27</v>
      </c>
      <c r="D155" s="6">
        <v>0</v>
      </c>
      <c r="E155" s="6">
        <v>0</v>
      </c>
      <c r="F155" s="6">
        <v>0</v>
      </c>
      <c r="G155" s="6">
        <v>12</v>
      </c>
      <c r="H155" s="6">
        <v>0</v>
      </c>
      <c r="I155" s="6">
        <v>0</v>
      </c>
      <c r="J155" s="6">
        <v>6</v>
      </c>
      <c r="K155" s="6">
        <v>0</v>
      </c>
      <c r="L155" s="6">
        <v>6</v>
      </c>
      <c r="M155" s="6">
        <v>6</v>
      </c>
      <c r="N155" s="6">
        <v>0</v>
      </c>
      <c r="O155" s="6">
        <v>12</v>
      </c>
      <c r="P155" s="18">
        <v>6</v>
      </c>
      <c r="Q155" s="19">
        <v>1</v>
      </c>
      <c r="R155" s="15">
        <v>0</v>
      </c>
      <c r="S155" s="20">
        <v>37.49</v>
      </c>
      <c r="U155" s="7">
        <f>IF(R155="",0,R155)*S155</f>
        <v>0</v>
      </c>
    </row>
    <row r="156" spans="1:21" x14ac:dyDescent="0.25">
      <c r="A156" s="8" t="s">
        <v>180</v>
      </c>
      <c r="B156" s="9"/>
      <c r="C156" s="10" t="s">
        <v>29</v>
      </c>
      <c r="D156" s="11">
        <v>1</v>
      </c>
      <c r="E156" s="11">
        <v>0</v>
      </c>
      <c r="F156" s="11">
        <v>5</v>
      </c>
      <c r="G156" s="11">
        <v>1</v>
      </c>
      <c r="H156" s="11">
        <v>3</v>
      </c>
      <c r="I156" s="11">
        <v>6</v>
      </c>
      <c r="J156" s="11">
        <v>6</v>
      </c>
      <c r="K156" s="11">
        <v>3</v>
      </c>
      <c r="L156" s="11">
        <v>5</v>
      </c>
      <c r="M156" s="11">
        <v>1</v>
      </c>
      <c r="N156" s="11">
        <v>4</v>
      </c>
      <c r="O156" s="11">
        <v>13</v>
      </c>
      <c r="P156" s="16"/>
      <c r="Q156" s="16"/>
      <c r="R156" s="16"/>
      <c r="S156" s="16"/>
    </row>
    <row r="157" spans="1:21" x14ac:dyDescent="0.25">
      <c r="A157" s="12"/>
      <c r="B157" s="12"/>
      <c r="C157" s="13" t="s">
        <v>30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7"/>
      <c r="Q157" s="17"/>
      <c r="R157" s="17"/>
      <c r="S157" s="17"/>
    </row>
    <row r="158" spans="1:21" x14ac:dyDescent="0.25">
      <c r="A158" s="3" t="s">
        <v>181</v>
      </c>
      <c r="B158" s="4" t="s">
        <v>182</v>
      </c>
      <c r="C158" s="5" t="s">
        <v>27</v>
      </c>
      <c r="D158" s="6">
        <v>25</v>
      </c>
      <c r="E158" s="6">
        <v>25</v>
      </c>
      <c r="F158" s="6">
        <v>25</v>
      </c>
      <c r="G158" s="6">
        <v>25</v>
      </c>
      <c r="H158" s="6">
        <v>25</v>
      </c>
      <c r="I158" s="6">
        <v>0</v>
      </c>
      <c r="J158" s="6">
        <v>0</v>
      </c>
      <c r="K158" s="6">
        <v>0</v>
      </c>
      <c r="L158" s="6">
        <v>24</v>
      </c>
      <c r="M158" s="6">
        <v>25</v>
      </c>
      <c r="N158" s="6">
        <v>0</v>
      </c>
      <c r="O158" s="6">
        <v>0</v>
      </c>
      <c r="P158" s="18">
        <v>24</v>
      </c>
      <c r="Q158" s="19">
        <v>23</v>
      </c>
      <c r="R158" s="15">
        <v>0</v>
      </c>
      <c r="S158" s="20">
        <v>3.02</v>
      </c>
      <c r="U158" s="7">
        <f>IF(R158="",0,R158)*S158</f>
        <v>0</v>
      </c>
    </row>
    <row r="159" spans="1:21" x14ac:dyDescent="0.25">
      <c r="A159" s="8" t="s">
        <v>183</v>
      </c>
      <c r="B159" s="9"/>
      <c r="C159" s="10" t="s">
        <v>29</v>
      </c>
      <c r="D159" s="11">
        <v>38</v>
      </c>
      <c r="E159" s="11">
        <v>16</v>
      </c>
      <c r="F159" s="11">
        <v>26</v>
      </c>
      <c r="G159" s="11">
        <v>10</v>
      </c>
      <c r="H159" s="11">
        <v>9</v>
      </c>
      <c r="I159" s="11">
        <v>8</v>
      </c>
      <c r="J159" s="11">
        <v>8</v>
      </c>
      <c r="K159" s="11">
        <v>18</v>
      </c>
      <c r="L159" s="11">
        <v>6</v>
      </c>
      <c r="M159" s="11">
        <v>10</v>
      </c>
      <c r="N159" s="11">
        <v>11</v>
      </c>
      <c r="O159" s="11">
        <v>4</v>
      </c>
      <c r="P159" s="16"/>
      <c r="Q159" s="16"/>
      <c r="R159" s="16"/>
      <c r="S159" s="16"/>
    </row>
    <row r="160" spans="1:21" x14ac:dyDescent="0.25">
      <c r="A160" s="12"/>
      <c r="B160" s="12"/>
      <c r="C160" s="13" t="s">
        <v>30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7"/>
      <c r="Q160" s="17"/>
      <c r="R160" s="17"/>
      <c r="S160" s="17"/>
    </row>
    <row r="161" spans="1:21" x14ac:dyDescent="0.25">
      <c r="A161" s="3" t="s">
        <v>184</v>
      </c>
      <c r="B161" s="4" t="s">
        <v>185</v>
      </c>
      <c r="C161" s="5" t="s">
        <v>27</v>
      </c>
      <c r="D161" s="6">
        <v>0</v>
      </c>
      <c r="E161" s="6">
        <v>0</v>
      </c>
      <c r="F161" s="6">
        <v>24</v>
      </c>
      <c r="G161" s="6">
        <v>0</v>
      </c>
      <c r="H161" s="6">
        <v>0</v>
      </c>
      <c r="I161" s="6">
        <v>0</v>
      </c>
      <c r="J161" s="6">
        <v>24</v>
      </c>
      <c r="K161" s="6">
        <v>0</v>
      </c>
      <c r="L161" s="6">
        <v>0</v>
      </c>
      <c r="M161" s="6">
        <v>0</v>
      </c>
      <c r="N161" s="6">
        <v>24</v>
      </c>
      <c r="O161" s="6">
        <v>0</v>
      </c>
      <c r="P161" s="18">
        <v>24</v>
      </c>
      <c r="Q161" s="19">
        <v>13</v>
      </c>
      <c r="R161" s="15">
        <v>0</v>
      </c>
      <c r="S161" s="20">
        <v>3.99</v>
      </c>
      <c r="U161" s="7">
        <f>IF(R161="",0,R161)*S161</f>
        <v>0</v>
      </c>
    </row>
    <row r="162" spans="1:21" x14ac:dyDescent="0.25">
      <c r="A162" s="8" t="s">
        <v>186</v>
      </c>
      <c r="B162" s="9"/>
      <c r="C162" s="10" t="s">
        <v>29</v>
      </c>
      <c r="D162" s="11">
        <v>2</v>
      </c>
      <c r="E162" s="11">
        <v>4</v>
      </c>
      <c r="F162" s="11">
        <v>12</v>
      </c>
      <c r="G162" s="11">
        <v>4</v>
      </c>
      <c r="H162" s="11">
        <v>5</v>
      </c>
      <c r="I162" s="11">
        <v>2</v>
      </c>
      <c r="J162" s="11">
        <v>4</v>
      </c>
      <c r="K162" s="11">
        <v>6</v>
      </c>
      <c r="L162" s="11">
        <v>1</v>
      </c>
      <c r="M162" s="11">
        <v>8</v>
      </c>
      <c r="N162" s="11">
        <v>16</v>
      </c>
      <c r="O162" s="11">
        <v>1</v>
      </c>
      <c r="P162" s="16"/>
      <c r="Q162" s="16"/>
      <c r="R162" s="16"/>
      <c r="S162" s="16"/>
    </row>
    <row r="163" spans="1:21" x14ac:dyDescent="0.25">
      <c r="A163" s="12"/>
      <c r="B163" s="12"/>
      <c r="C163" s="13" t="s">
        <v>30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7"/>
      <c r="Q163" s="17"/>
      <c r="R163" s="17"/>
      <c r="S163" s="17"/>
    </row>
    <row r="164" spans="1:21" x14ac:dyDescent="0.25">
      <c r="A164" s="3" t="s">
        <v>187</v>
      </c>
      <c r="B164" s="4" t="s">
        <v>188</v>
      </c>
      <c r="C164" s="5" t="s">
        <v>27</v>
      </c>
      <c r="D164" s="6">
        <v>0</v>
      </c>
      <c r="E164" s="6">
        <v>0</v>
      </c>
      <c r="F164" s="6">
        <v>0</v>
      </c>
      <c r="G164" s="6">
        <v>360</v>
      </c>
      <c r="H164" s="6">
        <v>60</v>
      </c>
      <c r="I164" s="6">
        <v>120</v>
      </c>
      <c r="J164" s="6">
        <v>120</v>
      </c>
      <c r="K164" s="6">
        <v>360</v>
      </c>
      <c r="L164" s="6">
        <v>60</v>
      </c>
      <c r="M164" s="6">
        <v>0</v>
      </c>
      <c r="N164" s="6">
        <v>0</v>
      </c>
      <c r="O164" s="6">
        <v>0</v>
      </c>
      <c r="P164" s="18">
        <v>60</v>
      </c>
      <c r="Q164" s="19">
        <v>1</v>
      </c>
      <c r="R164" s="15">
        <v>0</v>
      </c>
      <c r="S164" s="20">
        <v>2.64</v>
      </c>
      <c r="U164" s="7">
        <f>IF(R164="",0,R164)*S164</f>
        <v>0</v>
      </c>
    </row>
    <row r="165" spans="1:21" x14ac:dyDescent="0.25">
      <c r="A165" s="8" t="s">
        <v>189</v>
      </c>
      <c r="B165" s="9"/>
      <c r="C165" s="10" t="s">
        <v>29</v>
      </c>
      <c r="D165" s="11">
        <v>0</v>
      </c>
      <c r="E165" s="11">
        <v>0</v>
      </c>
      <c r="F165" s="11">
        <v>0</v>
      </c>
      <c r="G165" s="11">
        <v>116</v>
      </c>
      <c r="H165" s="11">
        <v>248</v>
      </c>
      <c r="I165" s="11">
        <v>127</v>
      </c>
      <c r="J165" s="11">
        <v>84</v>
      </c>
      <c r="K165" s="11">
        <v>156</v>
      </c>
      <c r="L165" s="11">
        <v>299</v>
      </c>
      <c r="M165" s="11">
        <v>49</v>
      </c>
      <c r="N165" s="11">
        <v>0</v>
      </c>
      <c r="O165" s="11">
        <v>0</v>
      </c>
      <c r="P165" s="16"/>
      <c r="Q165" s="16"/>
      <c r="R165" s="16"/>
      <c r="S165" s="16"/>
    </row>
    <row r="166" spans="1:21" x14ac:dyDescent="0.25">
      <c r="A166" s="12"/>
      <c r="B166" s="12"/>
      <c r="C166" s="13" t="s">
        <v>30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7"/>
      <c r="Q166" s="17"/>
      <c r="R166" s="17"/>
      <c r="S166" s="17"/>
    </row>
    <row r="167" spans="1:21" x14ac:dyDescent="0.25">
      <c r="A167" s="3" t="s">
        <v>190</v>
      </c>
      <c r="B167" s="4" t="s">
        <v>191</v>
      </c>
      <c r="C167" s="5" t="s">
        <v>27</v>
      </c>
      <c r="D167" s="6">
        <v>0</v>
      </c>
      <c r="E167" s="6">
        <v>0</v>
      </c>
      <c r="F167" s="6">
        <v>360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18">
        <v>360</v>
      </c>
      <c r="Q167" s="19">
        <v>1</v>
      </c>
      <c r="R167" s="15">
        <v>0</v>
      </c>
      <c r="S167" s="20">
        <v>3.0702219999999998</v>
      </c>
      <c r="U167" s="7">
        <f>IF(R167="",0,R167)*S167</f>
        <v>0</v>
      </c>
    </row>
    <row r="168" spans="1:21" x14ac:dyDescent="0.25">
      <c r="A168" s="8" t="s">
        <v>192</v>
      </c>
      <c r="B168" s="9"/>
      <c r="C168" s="10" t="s">
        <v>29</v>
      </c>
      <c r="D168" s="11">
        <v>0</v>
      </c>
      <c r="E168" s="11">
        <v>0</v>
      </c>
      <c r="F168" s="11">
        <v>192</v>
      </c>
      <c r="G168" s="11">
        <v>147</v>
      </c>
      <c r="H168" s="11">
        <v>15</v>
      </c>
      <c r="I168" s="11">
        <v>4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6"/>
      <c r="Q168" s="16"/>
      <c r="R168" s="16"/>
      <c r="S168" s="16"/>
    </row>
    <row r="169" spans="1:21" x14ac:dyDescent="0.25">
      <c r="A169" s="12"/>
      <c r="B169" s="12"/>
      <c r="C169" s="13" t="s">
        <v>30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7"/>
      <c r="Q169" s="17"/>
      <c r="R169" s="17"/>
      <c r="S169" s="17"/>
    </row>
    <row r="170" spans="1:21" x14ac:dyDescent="0.25">
      <c r="A170" s="3" t="s">
        <v>193</v>
      </c>
      <c r="B170" s="4" t="s">
        <v>194</v>
      </c>
      <c r="C170" s="5" t="s">
        <v>27</v>
      </c>
      <c r="D170" s="6">
        <v>96</v>
      </c>
      <c r="E170" s="6">
        <v>0</v>
      </c>
      <c r="F170" s="6">
        <v>48</v>
      </c>
      <c r="G170" s="6">
        <v>0</v>
      </c>
      <c r="H170" s="6">
        <v>0</v>
      </c>
      <c r="I170" s="6">
        <v>48</v>
      </c>
      <c r="J170" s="6">
        <v>96</v>
      </c>
      <c r="K170" s="6">
        <v>48</v>
      </c>
      <c r="L170" s="6">
        <v>0</v>
      </c>
      <c r="M170" s="6">
        <v>96</v>
      </c>
      <c r="N170" s="6">
        <v>96</v>
      </c>
      <c r="O170" s="6">
        <v>48</v>
      </c>
      <c r="P170" s="18">
        <v>48</v>
      </c>
      <c r="Q170" s="19">
        <v>44</v>
      </c>
      <c r="R170" s="15">
        <v>0</v>
      </c>
      <c r="S170" s="20">
        <v>3.34</v>
      </c>
      <c r="U170" s="7">
        <f>IF(R170="",0,R170)*S170</f>
        <v>0</v>
      </c>
    </row>
    <row r="171" spans="1:21" x14ac:dyDescent="0.25">
      <c r="A171" s="8" t="s">
        <v>195</v>
      </c>
      <c r="B171" s="9"/>
      <c r="C171" s="10" t="s">
        <v>29</v>
      </c>
      <c r="D171" s="11">
        <v>53</v>
      </c>
      <c r="E171" s="11">
        <v>52</v>
      </c>
      <c r="F171" s="11">
        <v>35</v>
      </c>
      <c r="G171" s="11">
        <v>11</v>
      </c>
      <c r="H171" s="11">
        <v>74</v>
      </c>
      <c r="I171" s="11">
        <v>63</v>
      </c>
      <c r="J171" s="11">
        <v>48</v>
      </c>
      <c r="K171" s="11">
        <v>29</v>
      </c>
      <c r="L171" s="11">
        <v>45</v>
      </c>
      <c r="M171" s="11">
        <v>71</v>
      </c>
      <c r="N171" s="11">
        <v>83</v>
      </c>
      <c r="O171" s="11">
        <v>64</v>
      </c>
      <c r="P171" s="16"/>
      <c r="Q171" s="16"/>
      <c r="R171" s="16"/>
      <c r="S171" s="16"/>
    </row>
    <row r="172" spans="1:21" x14ac:dyDescent="0.25">
      <c r="A172" s="12"/>
      <c r="B172" s="12"/>
      <c r="C172" s="13" t="s">
        <v>30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7"/>
      <c r="Q172" s="17"/>
      <c r="R172" s="17"/>
      <c r="S172" s="17"/>
    </row>
    <row r="173" spans="1:21" x14ac:dyDescent="0.25">
      <c r="A173" s="3" t="s">
        <v>196</v>
      </c>
      <c r="B173" s="4" t="s">
        <v>197</v>
      </c>
      <c r="C173" s="5" t="s">
        <v>27</v>
      </c>
      <c r="D173" s="6">
        <v>12</v>
      </c>
      <c r="E173" s="6">
        <v>0</v>
      </c>
      <c r="F173" s="6">
        <v>0</v>
      </c>
      <c r="G173" s="6">
        <v>0</v>
      </c>
      <c r="H173" s="6">
        <v>12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18">
        <v>12</v>
      </c>
      <c r="Q173" s="19">
        <v>0</v>
      </c>
      <c r="R173" s="15">
        <v>0</v>
      </c>
      <c r="S173" s="20">
        <v>7.1733330000000004</v>
      </c>
      <c r="U173" s="7">
        <f>IF(R173="",0,R173)*S173</f>
        <v>0</v>
      </c>
    </row>
    <row r="174" spans="1:21" x14ac:dyDescent="0.25">
      <c r="A174" s="8" t="s">
        <v>198</v>
      </c>
      <c r="B174" s="9"/>
      <c r="C174" s="10" t="s">
        <v>29</v>
      </c>
      <c r="D174" s="11">
        <v>3</v>
      </c>
      <c r="E174" s="11">
        <v>8</v>
      </c>
      <c r="F174" s="11">
        <v>2</v>
      </c>
      <c r="G174" s="11">
        <v>0</v>
      </c>
      <c r="H174" s="11">
        <v>0</v>
      </c>
      <c r="I174" s="11">
        <v>4</v>
      </c>
      <c r="J174" s="11">
        <v>2</v>
      </c>
      <c r="K174" s="11">
        <v>5</v>
      </c>
      <c r="L174" s="11">
        <v>0</v>
      </c>
      <c r="M174" s="11">
        <v>0</v>
      </c>
      <c r="N174" s="11">
        <v>1</v>
      </c>
      <c r="O174" s="11">
        <v>0</v>
      </c>
      <c r="P174" s="16"/>
      <c r="Q174" s="16"/>
      <c r="R174" s="16"/>
      <c r="S174" s="16"/>
    </row>
    <row r="175" spans="1:21" x14ac:dyDescent="0.25">
      <c r="A175" s="12"/>
      <c r="B175" s="12"/>
      <c r="C175" s="13" t="s">
        <v>30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7"/>
      <c r="Q175" s="17"/>
      <c r="R175" s="17"/>
      <c r="S175" s="17"/>
    </row>
    <row r="176" spans="1:21" x14ac:dyDescent="0.25">
      <c r="A176" s="3" t="s">
        <v>199</v>
      </c>
      <c r="B176" s="4" t="s">
        <v>200</v>
      </c>
      <c r="C176" s="5" t="s">
        <v>27</v>
      </c>
      <c r="D176" s="6">
        <v>48</v>
      </c>
      <c r="E176" s="6">
        <v>24</v>
      </c>
      <c r="F176" s="6">
        <v>24</v>
      </c>
      <c r="G176" s="6">
        <v>0</v>
      </c>
      <c r="H176" s="6">
        <v>24</v>
      </c>
      <c r="I176" s="6">
        <v>0</v>
      </c>
      <c r="J176" s="6">
        <v>0</v>
      </c>
      <c r="K176" s="6">
        <v>0</v>
      </c>
      <c r="L176" s="6">
        <v>0</v>
      </c>
      <c r="M176" s="6">
        <v>48</v>
      </c>
      <c r="N176" s="6">
        <v>0</v>
      </c>
      <c r="O176" s="6">
        <v>24</v>
      </c>
      <c r="P176" s="18">
        <v>24</v>
      </c>
      <c r="Q176" s="19">
        <v>29</v>
      </c>
      <c r="R176" s="15">
        <v>0</v>
      </c>
      <c r="S176" s="20">
        <v>5.98</v>
      </c>
      <c r="U176" s="7">
        <f>IF(R176="",0,R176)*S176</f>
        <v>0</v>
      </c>
    </row>
    <row r="177" spans="1:21" x14ac:dyDescent="0.25">
      <c r="A177" s="8" t="s">
        <v>201</v>
      </c>
      <c r="B177" s="9"/>
      <c r="C177" s="10" t="s">
        <v>29</v>
      </c>
      <c r="D177" s="11">
        <v>33</v>
      </c>
      <c r="E177" s="11">
        <v>32</v>
      </c>
      <c r="F177" s="11">
        <v>17</v>
      </c>
      <c r="G177" s="11">
        <v>8</v>
      </c>
      <c r="H177" s="11">
        <v>5</v>
      </c>
      <c r="I177" s="11">
        <v>15</v>
      </c>
      <c r="J177" s="11">
        <v>13</v>
      </c>
      <c r="K177" s="11">
        <v>0</v>
      </c>
      <c r="L177" s="11">
        <v>0</v>
      </c>
      <c r="M177" s="11">
        <v>12</v>
      </c>
      <c r="N177" s="11">
        <v>10</v>
      </c>
      <c r="O177" s="11">
        <v>21</v>
      </c>
      <c r="P177" s="16"/>
      <c r="Q177" s="16"/>
      <c r="R177" s="16"/>
      <c r="S177" s="16"/>
    </row>
    <row r="178" spans="1:21" x14ac:dyDescent="0.25">
      <c r="A178" s="12"/>
      <c r="B178" s="12"/>
      <c r="C178" s="13" t="s">
        <v>30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7"/>
      <c r="Q178" s="17"/>
      <c r="R178" s="17"/>
      <c r="S178" s="17"/>
    </row>
    <row r="179" spans="1:21" x14ac:dyDescent="0.25">
      <c r="A179" s="3" t="s">
        <v>202</v>
      </c>
      <c r="B179" s="4" t="s">
        <v>203</v>
      </c>
      <c r="C179" s="5" t="s">
        <v>27</v>
      </c>
      <c r="D179" s="6">
        <v>0</v>
      </c>
      <c r="E179" s="6">
        <v>24</v>
      </c>
      <c r="F179" s="6">
        <v>0</v>
      </c>
      <c r="G179" s="6">
        <v>24</v>
      </c>
      <c r="H179" s="6">
        <v>12</v>
      </c>
      <c r="I179" s="6">
        <v>12</v>
      </c>
      <c r="J179" s="6">
        <v>24</v>
      </c>
      <c r="K179" s="6">
        <v>24</v>
      </c>
      <c r="L179" s="6">
        <v>24</v>
      </c>
      <c r="M179" s="6">
        <v>24</v>
      </c>
      <c r="N179" s="6">
        <v>0</v>
      </c>
      <c r="O179" s="6">
        <v>0</v>
      </c>
      <c r="P179" s="18">
        <v>12</v>
      </c>
      <c r="Q179" s="19">
        <v>21</v>
      </c>
      <c r="R179" s="15">
        <v>0</v>
      </c>
      <c r="S179" s="20">
        <v>9.98</v>
      </c>
      <c r="U179" s="7">
        <f>IF(R179="",0,R179)*S179</f>
        <v>0</v>
      </c>
    </row>
    <row r="180" spans="1:21" x14ac:dyDescent="0.25">
      <c r="A180" s="8" t="s">
        <v>204</v>
      </c>
      <c r="B180" s="9"/>
      <c r="C180" s="10" t="s">
        <v>29</v>
      </c>
      <c r="D180" s="11">
        <v>14</v>
      </c>
      <c r="E180" s="11">
        <v>5</v>
      </c>
      <c r="F180" s="11">
        <v>13</v>
      </c>
      <c r="G180" s="11">
        <v>32</v>
      </c>
      <c r="H180" s="11">
        <v>8</v>
      </c>
      <c r="I180" s="11">
        <v>14</v>
      </c>
      <c r="J180" s="11">
        <v>11</v>
      </c>
      <c r="K180" s="11">
        <v>30</v>
      </c>
      <c r="L180" s="11">
        <v>8</v>
      </c>
      <c r="M180" s="11">
        <v>12</v>
      </c>
      <c r="N180" s="11">
        <v>10</v>
      </c>
      <c r="O180" s="11">
        <v>6</v>
      </c>
      <c r="P180" s="16"/>
      <c r="Q180" s="16"/>
      <c r="R180" s="16"/>
      <c r="S180" s="16"/>
    </row>
    <row r="181" spans="1:21" x14ac:dyDescent="0.25">
      <c r="A181" s="12"/>
      <c r="B181" s="12"/>
      <c r="C181" s="13" t="s">
        <v>30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7"/>
      <c r="Q181" s="17"/>
      <c r="R181" s="17"/>
      <c r="S181" s="17"/>
    </row>
    <row r="182" spans="1:21" x14ac:dyDescent="0.25">
      <c r="A182" s="3" t="s">
        <v>205</v>
      </c>
      <c r="B182" s="4" t="s">
        <v>206</v>
      </c>
      <c r="C182" s="5" t="s">
        <v>27</v>
      </c>
      <c r="D182" s="6">
        <v>12</v>
      </c>
      <c r="E182" s="6">
        <v>12</v>
      </c>
      <c r="F182" s="6">
        <v>0</v>
      </c>
      <c r="G182" s="6">
        <v>24</v>
      </c>
      <c r="H182" s="6">
        <v>12</v>
      </c>
      <c r="I182" s="6">
        <v>0</v>
      </c>
      <c r="J182" s="6">
        <v>0</v>
      </c>
      <c r="K182" s="6">
        <v>0</v>
      </c>
      <c r="L182" s="6">
        <v>12</v>
      </c>
      <c r="M182" s="6">
        <v>12</v>
      </c>
      <c r="N182" s="6">
        <v>0</v>
      </c>
      <c r="O182" s="6">
        <v>0</v>
      </c>
      <c r="P182" s="18">
        <v>12</v>
      </c>
      <c r="Q182" s="19">
        <v>8</v>
      </c>
      <c r="R182" s="15">
        <v>0</v>
      </c>
      <c r="S182" s="20">
        <v>8.6999999999999993</v>
      </c>
      <c r="U182" s="7">
        <f>IF(R182="",0,R182)*S182</f>
        <v>0</v>
      </c>
    </row>
    <row r="183" spans="1:21" x14ac:dyDescent="0.25">
      <c r="A183" s="8" t="s">
        <v>207</v>
      </c>
      <c r="B183" s="9"/>
      <c r="C183" s="10" t="s">
        <v>29</v>
      </c>
      <c r="D183" s="11">
        <v>12</v>
      </c>
      <c r="E183" s="11">
        <v>3</v>
      </c>
      <c r="F183" s="11">
        <v>12</v>
      </c>
      <c r="G183" s="11">
        <v>14</v>
      </c>
      <c r="H183" s="11">
        <v>10</v>
      </c>
      <c r="I183" s="11">
        <v>0</v>
      </c>
      <c r="J183" s="11">
        <v>0</v>
      </c>
      <c r="K183" s="11">
        <v>6</v>
      </c>
      <c r="L183" s="11">
        <v>9</v>
      </c>
      <c r="M183" s="11">
        <v>9</v>
      </c>
      <c r="N183" s="11">
        <v>1</v>
      </c>
      <c r="O183" s="11">
        <v>3</v>
      </c>
      <c r="P183" s="16"/>
      <c r="Q183" s="16"/>
      <c r="R183" s="16"/>
      <c r="S183" s="16"/>
    </row>
    <row r="184" spans="1:21" x14ac:dyDescent="0.25">
      <c r="A184" s="12"/>
      <c r="B184" s="12"/>
      <c r="C184" s="13" t="s">
        <v>30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7"/>
      <c r="Q184" s="17"/>
      <c r="R184" s="17"/>
      <c r="S184" s="17"/>
    </row>
    <row r="185" spans="1:21" x14ac:dyDescent="0.25">
      <c r="A185" s="3" t="s">
        <v>208</v>
      </c>
      <c r="B185" s="4" t="s">
        <v>209</v>
      </c>
      <c r="C185" s="5" t="s">
        <v>27</v>
      </c>
      <c r="D185" s="6">
        <v>48</v>
      </c>
      <c r="E185" s="6">
        <v>48</v>
      </c>
      <c r="F185" s="6">
        <v>0</v>
      </c>
      <c r="G185" s="6">
        <v>0</v>
      </c>
      <c r="H185" s="6">
        <v>0</v>
      </c>
      <c r="I185" s="6">
        <v>48</v>
      </c>
      <c r="J185" s="6">
        <v>0</v>
      </c>
      <c r="K185" s="6">
        <v>0</v>
      </c>
      <c r="L185" s="6">
        <v>0</v>
      </c>
      <c r="M185" s="6">
        <v>48</v>
      </c>
      <c r="N185" s="6">
        <v>24</v>
      </c>
      <c r="O185" s="6">
        <v>24</v>
      </c>
      <c r="P185" s="18">
        <v>24</v>
      </c>
      <c r="Q185" s="19">
        <v>39</v>
      </c>
      <c r="R185" s="15">
        <v>0</v>
      </c>
      <c r="S185" s="20">
        <v>6.88</v>
      </c>
      <c r="U185" s="7">
        <f>IF(R185="",0,R185)*S185</f>
        <v>0</v>
      </c>
    </row>
    <row r="186" spans="1:21" x14ac:dyDescent="0.25">
      <c r="A186" s="8" t="s">
        <v>210</v>
      </c>
      <c r="B186" s="9"/>
      <c r="C186" s="10" t="s">
        <v>29</v>
      </c>
      <c r="D186" s="11">
        <v>28</v>
      </c>
      <c r="E186" s="11">
        <v>29</v>
      </c>
      <c r="F186" s="11">
        <v>35</v>
      </c>
      <c r="G186" s="11">
        <v>0</v>
      </c>
      <c r="H186" s="11">
        <v>1</v>
      </c>
      <c r="I186" s="11">
        <v>27</v>
      </c>
      <c r="J186" s="11">
        <v>19</v>
      </c>
      <c r="K186" s="11">
        <v>0</v>
      </c>
      <c r="L186" s="11">
        <v>0</v>
      </c>
      <c r="M186" s="11">
        <v>22</v>
      </c>
      <c r="N186" s="11">
        <v>18</v>
      </c>
      <c r="O186" s="11">
        <v>22</v>
      </c>
      <c r="P186" s="16"/>
      <c r="Q186" s="16"/>
      <c r="R186" s="16"/>
      <c r="S186" s="16"/>
    </row>
    <row r="187" spans="1:21" x14ac:dyDescent="0.25">
      <c r="A187" s="12"/>
      <c r="B187" s="12"/>
      <c r="C187" s="13" t="s">
        <v>30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7"/>
      <c r="Q187" s="17"/>
      <c r="R187" s="17"/>
      <c r="S187" s="17"/>
    </row>
    <row r="188" spans="1:21" x14ac:dyDescent="0.25">
      <c r="A188" s="3" t="s">
        <v>211</v>
      </c>
      <c r="B188" s="4" t="s">
        <v>212</v>
      </c>
      <c r="C188" s="5" t="s">
        <v>27</v>
      </c>
      <c r="D188" s="6">
        <v>0</v>
      </c>
      <c r="E188" s="6">
        <v>6</v>
      </c>
      <c r="F188" s="6">
        <v>0</v>
      </c>
      <c r="G188" s="6">
        <v>12</v>
      </c>
      <c r="H188" s="6">
        <v>24</v>
      </c>
      <c r="I188" s="6">
        <v>0</v>
      </c>
      <c r="J188" s="6">
        <v>24</v>
      </c>
      <c r="K188" s="6">
        <v>0</v>
      </c>
      <c r="L188" s="6">
        <v>12</v>
      </c>
      <c r="M188" s="6">
        <v>45</v>
      </c>
      <c r="N188" s="6">
        <v>0</v>
      </c>
      <c r="O188" s="6">
        <v>0</v>
      </c>
      <c r="P188" s="18">
        <v>6</v>
      </c>
      <c r="Q188" s="19">
        <v>3</v>
      </c>
      <c r="R188" s="15">
        <v>0</v>
      </c>
      <c r="S188" s="20">
        <v>9.8884439999999998</v>
      </c>
      <c r="U188" s="7">
        <f>IF(R188="",0,R188)*S188</f>
        <v>0</v>
      </c>
    </row>
    <row r="189" spans="1:21" x14ac:dyDescent="0.25">
      <c r="A189" s="8" t="s">
        <v>213</v>
      </c>
      <c r="B189" s="9"/>
      <c r="C189" s="10" t="s">
        <v>29</v>
      </c>
      <c r="D189" s="11">
        <v>1</v>
      </c>
      <c r="E189" s="11">
        <v>3</v>
      </c>
      <c r="F189" s="11">
        <v>3</v>
      </c>
      <c r="G189" s="11">
        <v>7</v>
      </c>
      <c r="H189" s="11">
        <v>11</v>
      </c>
      <c r="I189" s="11">
        <v>13</v>
      </c>
      <c r="J189" s="11">
        <v>15</v>
      </c>
      <c r="K189" s="11">
        <v>14</v>
      </c>
      <c r="L189" s="11">
        <v>11</v>
      </c>
      <c r="M189" s="11">
        <v>7</v>
      </c>
      <c r="N189" s="11">
        <v>21</v>
      </c>
      <c r="O189" s="11">
        <v>15</v>
      </c>
      <c r="P189" s="16"/>
      <c r="Q189" s="16"/>
      <c r="R189" s="16"/>
      <c r="S189" s="16"/>
    </row>
    <row r="190" spans="1:21" x14ac:dyDescent="0.25">
      <c r="A190" s="12"/>
      <c r="B190" s="12"/>
      <c r="C190" s="13" t="s">
        <v>30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7"/>
      <c r="Q190" s="17"/>
      <c r="R190" s="17"/>
      <c r="S190" s="17"/>
    </row>
    <row r="191" spans="1:21" x14ac:dyDescent="0.25">
      <c r="A191" s="3" t="s">
        <v>214</v>
      </c>
      <c r="B191" s="4" t="s">
        <v>215</v>
      </c>
      <c r="C191" s="5" t="s">
        <v>27</v>
      </c>
      <c r="D191" s="6">
        <v>0</v>
      </c>
      <c r="E191" s="6">
        <v>12</v>
      </c>
      <c r="F191" s="6">
        <v>0</v>
      </c>
      <c r="G191" s="6">
        <v>15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18">
        <v>12</v>
      </c>
      <c r="Q191" s="19">
        <v>1</v>
      </c>
      <c r="R191" s="15">
        <v>0</v>
      </c>
      <c r="S191" s="20">
        <v>8.3846670000000003</v>
      </c>
      <c r="U191" s="7">
        <f>IF(R191="",0,R191)*S191</f>
        <v>0</v>
      </c>
    </row>
    <row r="192" spans="1:21" x14ac:dyDescent="0.25">
      <c r="A192" s="8" t="s">
        <v>216</v>
      </c>
      <c r="B192" s="9"/>
      <c r="C192" s="10" t="s">
        <v>29</v>
      </c>
      <c r="D192" s="11">
        <v>5</v>
      </c>
      <c r="E192" s="11">
        <v>8</v>
      </c>
      <c r="F192" s="11">
        <v>4</v>
      </c>
      <c r="G192" s="11">
        <v>6</v>
      </c>
      <c r="H192" s="11">
        <v>4</v>
      </c>
      <c r="I192" s="11">
        <v>0</v>
      </c>
      <c r="J192" s="11">
        <v>0</v>
      </c>
      <c r="K192" s="11">
        <v>4</v>
      </c>
      <c r="L192" s="11">
        <v>0</v>
      </c>
      <c r="M192" s="11">
        <v>0</v>
      </c>
      <c r="N192" s="11">
        <v>0</v>
      </c>
      <c r="O192" s="11">
        <v>0</v>
      </c>
      <c r="P192" s="16"/>
      <c r="Q192" s="16"/>
      <c r="R192" s="16"/>
      <c r="S192" s="16"/>
    </row>
    <row r="193" spans="1:21" x14ac:dyDescent="0.25">
      <c r="A193" s="12"/>
      <c r="B193" s="12"/>
      <c r="C193" s="13" t="s">
        <v>30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7"/>
      <c r="Q193" s="17"/>
      <c r="R193" s="17"/>
      <c r="S193" s="17"/>
    </row>
    <row r="194" spans="1:21" x14ac:dyDescent="0.25">
      <c r="A194" s="3" t="s">
        <v>217</v>
      </c>
      <c r="B194" s="4" t="s">
        <v>218</v>
      </c>
      <c r="C194" s="5" t="s">
        <v>27</v>
      </c>
      <c r="D194" s="6">
        <v>48</v>
      </c>
      <c r="E194" s="6">
        <v>48</v>
      </c>
      <c r="F194" s="6">
        <v>72</v>
      </c>
      <c r="G194" s="6">
        <v>96</v>
      </c>
      <c r="H194" s="6">
        <v>0</v>
      </c>
      <c r="I194" s="6">
        <v>0</v>
      </c>
      <c r="J194" s="6">
        <v>24</v>
      </c>
      <c r="K194" s="6">
        <v>24</v>
      </c>
      <c r="L194" s="6">
        <v>24</v>
      </c>
      <c r="M194" s="6">
        <v>120</v>
      </c>
      <c r="N194" s="6">
        <v>0</v>
      </c>
      <c r="O194" s="6">
        <v>0</v>
      </c>
      <c r="P194" s="18">
        <v>24</v>
      </c>
      <c r="Q194" s="19">
        <v>2</v>
      </c>
      <c r="R194" s="15">
        <v>0</v>
      </c>
      <c r="S194" s="20">
        <v>4.97</v>
      </c>
      <c r="U194" s="7">
        <f>IF(R194="",0,R194)*S194</f>
        <v>0</v>
      </c>
    </row>
    <row r="195" spans="1:21" x14ac:dyDescent="0.25">
      <c r="A195" s="8" t="s">
        <v>219</v>
      </c>
      <c r="B195" s="9"/>
      <c r="C195" s="10" t="s">
        <v>29</v>
      </c>
      <c r="D195" s="11">
        <v>35</v>
      </c>
      <c r="E195" s="11">
        <v>30</v>
      </c>
      <c r="F195" s="11">
        <v>57</v>
      </c>
      <c r="G195" s="11">
        <v>45</v>
      </c>
      <c r="H195" s="11">
        <v>42</v>
      </c>
      <c r="I195" s="11">
        <v>42</v>
      </c>
      <c r="J195" s="11">
        <v>35</v>
      </c>
      <c r="K195" s="11">
        <v>24</v>
      </c>
      <c r="L195" s="11">
        <v>24</v>
      </c>
      <c r="M195" s="11">
        <v>36</v>
      </c>
      <c r="N195" s="11">
        <v>46</v>
      </c>
      <c r="O195" s="11">
        <v>38</v>
      </c>
      <c r="P195" s="16"/>
      <c r="Q195" s="16"/>
      <c r="R195" s="16"/>
      <c r="S195" s="16"/>
    </row>
    <row r="196" spans="1:21" x14ac:dyDescent="0.25">
      <c r="A196" s="12"/>
      <c r="B196" s="12"/>
      <c r="C196" s="13" t="s">
        <v>30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7"/>
      <c r="Q196" s="17"/>
      <c r="R196" s="17"/>
      <c r="S196" s="17"/>
    </row>
    <row r="197" spans="1:21" x14ac:dyDescent="0.25">
      <c r="A197" s="3" t="s">
        <v>220</v>
      </c>
      <c r="B197" s="4" t="s">
        <v>221</v>
      </c>
      <c r="C197" s="5" t="s">
        <v>27</v>
      </c>
      <c r="D197" s="6">
        <v>50</v>
      </c>
      <c r="E197" s="6">
        <v>0</v>
      </c>
      <c r="F197" s="6">
        <v>0</v>
      </c>
      <c r="G197" s="6">
        <v>0</v>
      </c>
      <c r="H197" s="6">
        <v>0</v>
      </c>
      <c r="I197" s="6">
        <v>50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18">
        <v>50</v>
      </c>
      <c r="Q197" s="19">
        <v>1</v>
      </c>
      <c r="R197" s="15">
        <v>0</v>
      </c>
      <c r="S197" s="20">
        <v>1.5886</v>
      </c>
      <c r="U197" s="7">
        <f>IF(R197="",0,R197)*S197</f>
        <v>0</v>
      </c>
    </row>
    <row r="198" spans="1:21" x14ac:dyDescent="0.25">
      <c r="A198" s="8" t="s">
        <v>222</v>
      </c>
      <c r="B198" s="9"/>
      <c r="C198" s="10" t="s">
        <v>29</v>
      </c>
      <c r="D198" s="11">
        <v>0</v>
      </c>
      <c r="E198" s="11">
        <v>30</v>
      </c>
      <c r="F198" s="11">
        <v>20</v>
      </c>
      <c r="G198" s="11">
        <v>1</v>
      </c>
      <c r="H198" s="11">
        <v>0</v>
      </c>
      <c r="I198" s="11">
        <v>7</v>
      </c>
      <c r="J198" s="11">
        <v>32</v>
      </c>
      <c r="K198" s="11">
        <v>10</v>
      </c>
      <c r="L198" s="11">
        <v>0</v>
      </c>
      <c r="M198" s="11">
        <v>0</v>
      </c>
      <c r="N198" s="11">
        <v>0</v>
      </c>
      <c r="O198" s="11">
        <v>0</v>
      </c>
      <c r="P198" s="16"/>
      <c r="Q198" s="16"/>
      <c r="R198" s="16"/>
      <c r="S198" s="16"/>
    </row>
    <row r="199" spans="1:21" x14ac:dyDescent="0.25">
      <c r="A199" s="12"/>
      <c r="B199" s="12"/>
      <c r="C199" s="13" t="s">
        <v>30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7"/>
      <c r="Q199" s="17"/>
      <c r="R199" s="17"/>
      <c r="S199" s="17"/>
    </row>
    <row r="200" spans="1:21" x14ac:dyDescent="0.25">
      <c r="A200" s="3" t="s">
        <v>223</v>
      </c>
      <c r="B200" s="4" t="s">
        <v>224</v>
      </c>
      <c r="C200" s="5" t="s">
        <v>27</v>
      </c>
      <c r="D200" s="6">
        <v>50</v>
      </c>
      <c r="E200" s="6">
        <v>50</v>
      </c>
      <c r="F200" s="6">
        <v>50</v>
      </c>
      <c r="G200" s="6">
        <v>100</v>
      </c>
      <c r="H200" s="6">
        <v>50</v>
      </c>
      <c r="I200" s="6">
        <v>50</v>
      </c>
      <c r="J200" s="6">
        <v>100</v>
      </c>
      <c r="K200" s="6">
        <v>0</v>
      </c>
      <c r="L200" s="6">
        <v>50</v>
      </c>
      <c r="M200" s="6">
        <v>50</v>
      </c>
      <c r="N200" s="6">
        <v>100</v>
      </c>
      <c r="O200" s="6">
        <v>50</v>
      </c>
      <c r="P200" s="18">
        <v>50</v>
      </c>
      <c r="Q200" s="19">
        <v>0</v>
      </c>
      <c r="R200" s="15">
        <v>0</v>
      </c>
      <c r="S200" s="20">
        <v>1.4</v>
      </c>
      <c r="U200" s="7">
        <f>IF(R200="",0,R200)*S200</f>
        <v>0</v>
      </c>
    </row>
    <row r="201" spans="1:21" x14ac:dyDescent="0.25">
      <c r="A201" s="8" t="s">
        <v>225</v>
      </c>
      <c r="B201" s="9"/>
      <c r="C201" s="10" t="s">
        <v>29</v>
      </c>
      <c r="D201" s="11">
        <v>48</v>
      </c>
      <c r="E201" s="11">
        <v>58</v>
      </c>
      <c r="F201" s="11">
        <v>43</v>
      </c>
      <c r="G201" s="11">
        <v>74</v>
      </c>
      <c r="H201" s="11">
        <v>36</v>
      </c>
      <c r="I201" s="11">
        <v>58</v>
      </c>
      <c r="J201" s="11">
        <v>61</v>
      </c>
      <c r="K201" s="11">
        <v>75</v>
      </c>
      <c r="L201" s="11">
        <v>40</v>
      </c>
      <c r="M201" s="11">
        <v>76</v>
      </c>
      <c r="N201" s="11">
        <v>96</v>
      </c>
      <c r="O201" s="11">
        <v>64</v>
      </c>
      <c r="P201" s="16"/>
      <c r="Q201" s="16"/>
      <c r="R201" s="16"/>
      <c r="S201" s="16"/>
    </row>
    <row r="202" spans="1:21" x14ac:dyDescent="0.25">
      <c r="A202" s="12"/>
      <c r="B202" s="12"/>
      <c r="C202" s="13" t="s">
        <v>30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7"/>
      <c r="Q202" s="17"/>
      <c r="R202" s="17"/>
      <c r="S202" s="17"/>
    </row>
    <row r="203" spans="1:21" x14ac:dyDescent="0.25">
      <c r="A203" s="3" t="s">
        <v>226</v>
      </c>
      <c r="B203" s="4" t="s">
        <v>227</v>
      </c>
      <c r="C203" s="5" t="s">
        <v>27</v>
      </c>
      <c r="D203" s="6">
        <v>0</v>
      </c>
      <c r="E203" s="6">
        <v>0</v>
      </c>
      <c r="F203" s="6">
        <v>0</v>
      </c>
      <c r="G203" s="6">
        <v>0</v>
      </c>
      <c r="H203" s="6">
        <v>480</v>
      </c>
      <c r="I203" s="6">
        <v>480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18">
        <v>480</v>
      </c>
      <c r="Q203" s="19">
        <v>89</v>
      </c>
      <c r="R203" s="15">
        <v>0</v>
      </c>
      <c r="S203" s="20">
        <v>2.99</v>
      </c>
      <c r="U203" s="7">
        <f>IF(R203="",0,R203)*S203</f>
        <v>0</v>
      </c>
    </row>
    <row r="204" spans="1:21" x14ac:dyDescent="0.25">
      <c r="A204" s="8" t="s">
        <v>228</v>
      </c>
      <c r="B204" s="9"/>
      <c r="C204" s="10" t="s">
        <v>29</v>
      </c>
      <c r="D204" s="11">
        <v>0</v>
      </c>
      <c r="E204" s="11">
        <v>0</v>
      </c>
      <c r="F204" s="11">
        <v>0</v>
      </c>
      <c r="G204" s="11">
        <v>0</v>
      </c>
      <c r="H204" s="11">
        <v>405</v>
      </c>
      <c r="I204" s="11">
        <v>119</v>
      </c>
      <c r="J204" s="11">
        <v>344</v>
      </c>
      <c r="K204" s="11">
        <v>2</v>
      </c>
      <c r="L204" s="11">
        <v>0</v>
      </c>
      <c r="M204" s="11">
        <v>1</v>
      </c>
      <c r="N204" s="11">
        <v>0</v>
      </c>
      <c r="O204" s="11">
        <v>0</v>
      </c>
      <c r="P204" s="16"/>
      <c r="Q204" s="16"/>
      <c r="R204" s="16"/>
      <c r="S204" s="16"/>
    </row>
    <row r="205" spans="1:21" x14ac:dyDescent="0.25">
      <c r="A205" s="12"/>
      <c r="B205" s="12"/>
      <c r="C205" s="13" t="s">
        <v>30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7"/>
      <c r="Q205" s="17"/>
      <c r="R205" s="17"/>
      <c r="S205" s="17"/>
    </row>
    <row r="206" spans="1:21" x14ac:dyDescent="0.25">
      <c r="A206" s="3" t="s">
        <v>229</v>
      </c>
      <c r="B206" s="4" t="s">
        <v>230</v>
      </c>
      <c r="C206" s="5" t="s">
        <v>27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24</v>
      </c>
      <c r="K206" s="6">
        <v>360</v>
      </c>
      <c r="L206" s="6">
        <v>0</v>
      </c>
      <c r="M206" s="6">
        <v>0</v>
      </c>
      <c r="N206" s="6">
        <v>360</v>
      </c>
      <c r="O206" s="6">
        <v>0</v>
      </c>
      <c r="P206" s="18">
        <v>24</v>
      </c>
      <c r="Q206" s="19">
        <v>5</v>
      </c>
      <c r="R206" s="15">
        <v>0</v>
      </c>
      <c r="S206" s="20">
        <v>4.75875</v>
      </c>
      <c r="U206" s="7">
        <f>IF(R206="",0,R206)*S206</f>
        <v>0</v>
      </c>
    </row>
    <row r="207" spans="1:21" x14ac:dyDescent="0.25">
      <c r="A207" s="8" t="s">
        <v>231</v>
      </c>
      <c r="B207" s="9"/>
      <c r="C207" s="10" t="s">
        <v>29</v>
      </c>
      <c r="D207" s="11">
        <v>7</v>
      </c>
      <c r="E207" s="11">
        <v>43</v>
      </c>
      <c r="F207" s="11">
        <v>111</v>
      </c>
      <c r="G207" s="11">
        <v>57</v>
      </c>
      <c r="H207" s="11">
        <v>9</v>
      </c>
      <c r="I207" s="11">
        <v>0</v>
      </c>
      <c r="J207" s="11">
        <v>0</v>
      </c>
      <c r="K207" s="11">
        <v>29</v>
      </c>
      <c r="L207" s="11">
        <v>225</v>
      </c>
      <c r="M207" s="11">
        <v>111</v>
      </c>
      <c r="N207" s="11">
        <v>122</v>
      </c>
      <c r="O207" s="11">
        <v>250</v>
      </c>
      <c r="P207" s="16"/>
      <c r="Q207" s="16"/>
      <c r="R207" s="16"/>
      <c r="S207" s="16"/>
    </row>
    <row r="208" spans="1:21" x14ac:dyDescent="0.25">
      <c r="A208" s="12"/>
      <c r="B208" s="12"/>
      <c r="C208" s="13" t="s">
        <v>30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2</v>
      </c>
      <c r="P208" s="17"/>
      <c r="Q208" s="17"/>
      <c r="R208" s="17"/>
      <c r="S208" s="17"/>
    </row>
    <row r="209" spans="1:21" x14ac:dyDescent="0.25">
      <c r="A209" s="3" t="s">
        <v>232</v>
      </c>
      <c r="B209" s="4" t="s">
        <v>233</v>
      </c>
      <c r="C209" s="5" t="s">
        <v>27</v>
      </c>
      <c r="D209" s="6">
        <v>48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18">
        <v>48</v>
      </c>
      <c r="Q209" s="19">
        <v>0</v>
      </c>
      <c r="R209" s="15">
        <v>0</v>
      </c>
      <c r="S209" s="20">
        <v>4.2058330000000002</v>
      </c>
      <c r="U209" s="7">
        <f>IF(R209="",0,R209)*S209</f>
        <v>0</v>
      </c>
    </row>
    <row r="210" spans="1:21" x14ac:dyDescent="0.25">
      <c r="A210" s="8" t="s">
        <v>234</v>
      </c>
      <c r="B210" s="9"/>
      <c r="C210" s="10" t="s">
        <v>29</v>
      </c>
      <c r="D210" s="11">
        <v>20</v>
      </c>
      <c r="E210" s="11">
        <v>13</v>
      </c>
      <c r="F210" s="11">
        <v>10</v>
      </c>
      <c r="G210" s="11">
        <v>2</v>
      </c>
      <c r="H210" s="11">
        <v>0</v>
      </c>
      <c r="I210" s="11">
        <v>8</v>
      </c>
      <c r="J210" s="11">
        <v>1</v>
      </c>
      <c r="K210" s="11">
        <v>8</v>
      </c>
      <c r="L210" s="11">
        <v>0</v>
      </c>
      <c r="M210" s="11">
        <v>0</v>
      </c>
      <c r="N210" s="11">
        <v>0</v>
      </c>
      <c r="O210" s="11">
        <v>0</v>
      </c>
      <c r="P210" s="16"/>
      <c r="Q210" s="16"/>
      <c r="R210" s="16"/>
      <c r="S210" s="16"/>
    </row>
    <row r="211" spans="1:21" x14ac:dyDescent="0.25">
      <c r="A211" s="12"/>
      <c r="B211" s="12"/>
      <c r="C211" s="13" t="s">
        <v>30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7"/>
      <c r="Q211" s="17"/>
      <c r="R211" s="17"/>
      <c r="S211" s="17"/>
    </row>
    <row r="212" spans="1:21" x14ac:dyDescent="0.25">
      <c r="A212" s="3" t="s">
        <v>235</v>
      </c>
      <c r="B212" s="4" t="s">
        <v>236</v>
      </c>
      <c r="C212" s="5" t="s">
        <v>27</v>
      </c>
      <c r="D212" s="6">
        <v>200</v>
      </c>
      <c r="E212" s="6">
        <v>50</v>
      </c>
      <c r="F212" s="6">
        <v>100</v>
      </c>
      <c r="G212" s="6">
        <v>200</v>
      </c>
      <c r="H212" s="6">
        <v>100</v>
      </c>
      <c r="I212" s="6">
        <v>100</v>
      </c>
      <c r="J212" s="6">
        <v>100</v>
      </c>
      <c r="K212" s="6">
        <v>300</v>
      </c>
      <c r="L212" s="6">
        <v>100</v>
      </c>
      <c r="M212" s="6">
        <v>150</v>
      </c>
      <c r="N212" s="6">
        <v>50</v>
      </c>
      <c r="O212" s="6">
        <v>100</v>
      </c>
      <c r="P212" s="18">
        <v>50</v>
      </c>
      <c r="Q212" s="19">
        <v>110</v>
      </c>
      <c r="R212" s="15">
        <v>0</v>
      </c>
      <c r="S212" s="20">
        <v>1.85</v>
      </c>
      <c r="U212" s="7">
        <f>IF(R212="",0,R212)*S212</f>
        <v>0</v>
      </c>
    </row>
    <row r="213" spans="1:21" x14ac:dyDescent="0.25">
      <c r="A213" s="8" t="s">
        <v>237</v>
      </c>
      <c r="B213" s="9"/>
      <c r="C213" s="10" t="s">
        <v>29</v>
      </c>
      <c r="D213" s="11">
        <v>105</v>
      </c>
      <c r="E213" s="11">
        <v>108</v>
      </c>
      <c r="F213" s="11">
        <v>152</v>
      </c>
      <c r="G213" s="11">
        <v>64</v>
      </c>
      <c r="H213" s="11">
        <v>164</v>
      </c>
      <c r="I213" s="11">
        <v>93</v>
      </c>
      <c r="J213" s="11">
        <v>125</v>
      </c>
      <c r="K213" s="11">
        <v>193</v>
      </c>
      <c r="L213" s="11">
        <v>208</v>
      </c>
      <c r="M213" s="11">
        <v>113</v>
      </c>
      <c r="N213" s="11">
        <v>68</v>
      </c>
      <c r="O213" s="11">
        <v>62</v>
      </c>
      <c r="P213" s="16"/>
      <c r="Q213" s="16"/>
      <c r="R213" s="16"/>
      <c r="S213" s="16"/>
    </row>
    <row r="214" spans="1:21" x14ac:dyDescent="0.25">
      <c r="A214" s="12"/>
      <c r="B214" s="12"/>
      <c r="C214" s="13" t="s">
        <v>30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7"/>
      <c r="Q214" s="17"/>
      <c r="R214" s="17"/>
      <c r="S214" s="17"/>
    </row>
    <row r="215" spans="1:21" x14ac:dyDescent="0.25">
      <c r="A215" s="3" t="s">
        <v>238</v>
      </c>
      <c r="B215" s="4" t="s">
        <v>239</v>
      </c>
      <c r="C215" s="5" t="s">
        <v>27</v>
      </c>
      <c r="D215" s="6">
        <v>50</v>
      </c>
      <c r="E215" s="6">
        <v>50</v>
      </c>
      <c r="F215" s="6">
        <v>0</v>
      </c>
      <c r="G215" s="6">
        <v>0</v>
      </c>
      <c r="H215" s="6">
        <v>50</v>
      </c>
      <c r="I215" s="6">
        <v>50</v>
      </c>
      <c r="J215" s="6">
        <v>50</v>
      </c>
      <c r="K215" s="6">
        <v>50</v>
      </c>
      <c r="L215" s="6">
        <v>50</v>
      </c>
      <c r="M215" s="6">
        <v>0</v>
      </c>
      <c r="N215" s="6">
        <v>0</v>
      </c>
      <c r="O215" s="6">
        <v>0</v>
      </c>
      <c r="P215" s="18">
        <v>50</v>
      </c>
      <c r="Q215" s="19">
        <v>9</v>
      </c>
      <c r="R215" s="15">
        <v>0</v>
      </c>
      <c r="S215" s="20">
        <v>2.8</v>
      </c>
      <c r="U215" s="7">
        <f>IF(R215="",0,R215)*S215</f>
        <v>0</v>
      </c>
    </row>
    <row r="216" spans="1:21" x14ac:dyDescent="0.25">
      <c r="A216" s="8" t="s">
        <v>240</v>
      </c>
      <c r="B216" s="9"/>
      <c r="C216" s="10" t="s">
        <v>29</v>
      </c>
      <c r="D216" s="11">
        <v>52</v>
      </c>
      <c r="E216" s="11">
        <v>28</v>
      </c>
      <c r="F216" s="11">
        <v>51</v>
      </c>
      <c r="G216" s="11">
        <v>0</v>
      </c>
      <c r="H216" s="11">
        <v>15</v>
      </c>
      <c r="I216" s="11">
        <v>38</v>
      </c>
      <c r="J216" s="11">
        <v>40</v>
      </c>
      <c r="K216" s="11">
        <v>66</v>
      </c>
      <c r="L216" s="11">
        <v>28</v>
      </c>
      <c r="M216" s="11">
        <v>9</v>
      </c>
      <c r="N216" s="11">
        <v>23</v>
      </c>
      <c r="O216" s="11">
        <v>22</v>
      </c>
      <c r="P216" s="16"/>
      <c r="Q216" s="16"/>
      <c r="R216" s="16"/>
      <c r="S216" s="16"/>
    </row>
    <row r="217" spans="1:21" x14ac:dyDescent="0.25">
      <c r="A217" s="12"/>
      <c r="B217" s="12"/>
      <c r="C217" s="13" t="s">
        <v>30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7"/>
      <c r="Q217" s="17"/>
      <c r="R217" s="17"/>
      <c r="S217" s="17"/>
    </row>
    <row r="218" spans="1:21" x14ac:dyDescent="0.25">
      <c r="A218" s="3" t="s">
        <v>241</v>
      </c>
      <c r="B218" s="4" t="s">
        <v>242</v>
      </c>
      <c r="C218" s="5" t="s">
        <v>27</v>
      </c>
      <c r="D218" s="6">
        <v>12</v>
      </c>
      <c r="E218" s="6">
        <v>0</v>
      </c>
      <c r="F218" s="6">
        <v>0</v>
      </c>
      <c r="G218" s="6">
        <v>12</v>
      </c>
      <c r="H218" s="6">
        <v>0</v>
      </c>
      <c r="I218" s="6">
        <v>0</v>
      </c>
      <c r="J218" s="6">
        <v>12</v>
      </c>
      <c r="K218" s="6">
        <v>0</v>
      </c>
      <c r="L218" s="6">
        <v>0</v>
      </c>
      <c r="M218" s="6">
        <v>6</v>
      </c>
      <c r="N218" s="6">
        <v>0</v>
      </c>
      <c r="O218" s="6">
        <v>0</v>
      </c>
      <c r="P218" s="18">
        <v>6</v>
      </c>
      <c r="Q218" s="19">
        <v>3</v>
      </c>
      <c r="R218" s="15">
        <v>0</v>
      </c>
      <c r="S218" s="20">
        <v>26.58</v>
      </c>
      <c r="U218" s="7">
        <f>IF(R218="",0,R218)*S218</f>
        <v>0</v>
      </c>
    </row>
    <row r="219" spans="1:21" x14ac:dyDescent="0.25">
      <c r="A219" s="8" t="s">
        <v>243</v>
      </c>
      <c r="B219" s="9"/>
      <c r="C219" s="10" t="s">
        <v>29</v>
      </c>
      <c r="D219" s="11">
        <v>3</v>
      </c>
      <c r="E219" s="11">
        <v>4</v>
      </c>
      <c r="F219" s="11">
        <v>4</v>
      </c>
      <c r="G219" s="11">
        <v>4</v>
      </c>
      <c r="H219" s="11">
        <v>5</v>
      </c>
      <c r="I219" s="11">
        <v>2</v>
      </c>
      <c r="J219" s="11">
        <v>3</v>
      </c>
      <c r="K219" s="11">
        <v>5</v>
      </c>
      <c r="L219" s="11">
        <v>2</v>
      </c>
      <c r="M219" s="11">
        <v>1</v>
      </c>
      <c r="N219" s="11">
        <v>3</v>
      </c>
      <c r="O219" s="11">
        <v>2</v>
      </c>
      <c r="P219" s="16"/>
      <c r="Q219" s="16"/>
      <c r="R219" s="16"/>
      <c r="S219" s="16"/>
    </row>
    <row r="220" spans="1:21" x14ac:dyDescent="0.25">
      <c r="A220" s="12"/>
      <c r="B220" s="12"/>
      <c r="C220" s="13" t="s">
        <v>30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1</v>
      </c>
      <c r="P220" s="17"/>
      <c r="Q220" s="17"/>
      <c r="R220" s="17"/>
      <c r="S220" s="17"/>
    </row>
    <row r="221" spans="1:21" x14ac:dyDescent="0.25">
      <c r="A221" s="3" t="s">
        <v>244</v>
      </c>
      <c r="B221" s="4" t="s">
        <v>245</v>
      </c>
      <c r="C221" s="5" t="s">
        <v>27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25</v>
      </c>
      <c r="M221" s="6">
        <v>0</v>
      </c>
      <c r="N221" s="6">
        <v>0</v>
      </c>
      <c r="O221" s="6">
        <v>0</v>
      </c>
      <c r="P221" s="18">
        <v>25</v>
      </c>
      <c r="Q221" s="19">
        <v>0</v>
      </c>
      <c r="R221" s="15">
        <v>0</v>
      </c>
      <c r="S221" s="20">
        <v>7.3204000000000002</v>
      </c>
      <c r="U221" s="7">
        <f>IF(R221="",0,R221)*S221</f>
        <v>0</v>
      </c>
    </row>
    <row r="222" spans="1:21" x14ac:dyDescent="0.25">
      <c r="A222" s="8" t="s">
        <v>246</v>
      </c>
      <c r="B222" s="9"/>
      <c r="C222" s="10" t="s">
        <v>29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1</v>
      </c>
      <c r="M222" s="11">
        <v>11</v>
      </c>
      <c r="N222" s="11">
        <v>6</v>
      </c>
      <c r="O222" s="11">
        <v>7</v>
      </c>
      <c r="P222" s="16"/>
      <c r="Q222" s="16"/>
      <c r="R222" s="16"/>
      <c r="S222" s="16"/>
    </row>
    <row r="223" spans="1:21" x14ac:dyDescent="0.25">
      <c r="A223" s="12"/>
      <c r="B223" s="12"/>
      <c r="C223" s="13" t="s">
        <v>30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7"/>
      <c r="Q223" s="17"/>
      <c r="R223" s="17"/>
      <c r="S223" s="17"/>
    </row>
    <row r="224" spans="1:21" x14ac:dyDescent="0.25">
      <c r="A224" s="3" t="s">
        <v>247</v>
      </c>
      <c r="B224" s="4" t="s">
        <v>248</v>
      </c>
      <c r="C224" s="5" t="s">
        <v>27</v>
      </c>
      <c r="D224" s="6">
        <v>0</v>
      </c>
      <c r="E224" s="6">
        <v>0</v>
      </c>
      <c r="F224" s="6">
        <v>25</v>
      </c>
      <c r="G224" s="6">
        <v>25</v>
      </c>
      <c r="H224" s="6">
        <v>25</v>
      </c>
      <c r="I224" s="6">
        <v>50</v>
      </c>
      <c r="J224" s="6">
        <v>75</v>
      </c>
      <c r="K224" s="6">
        <v>0</v>
      </c>
      <c r="L224" s="6">
        <v>25</v>
      </c>
      <c r="M224" s="6">
        <v>25</v>
      </c>
      <c r="N224" s="6">
        <v>25</v>
      </c>
      <c r="O224" s="6">
        <v>25</v>
      </c>
      <c r="P224" s="18">
        <v>25</v>
      </c>
      <c r="Q224" s="19">
        <v>24</v>
      </c>
      <c r="R224" s="15">
        <v>0</v>
      </c>
      <c r="S224" s="20">
        <v>5.83</v>
      </c>
      <c r="U224" s="7">
        <f>IF(R224="",0,R224)*S224</f>
        <v>0</v>
      </c>
    </row>
    <row r="225" spans="1:21" x14ac:dyDescent="0.25">
      <c r="A225" s="8" t="s">
        <v>249</v>
      </c>
      <c r="B225" s="9"/>
      <c r="C225" s="10" t="s">
        <v>29</v>
      </c>
      <c r="D225" s="11">
        <v>18</v>
      </c>
      <c r="E225" s="11">
        <v>17</v>
      </c>
      <c r="F225" s="11">
        <v>6</v>
      </c>
      <c r="G225" s="11">
        <v>36</v>
      </c>
      <c r="H225" s="11">
        <v>40</v>
      </c>
      <c r="I225" s="11">
        <v>42</v>
      </c>
      <c r="J225" s="11">
        <v>33</v>
      </c>
      <c r="K225" s="11">
        <v>36</v>
      </c>
      <c r="L225" s="11">
        <v>17</v>
      </c>
      <c r="M225" s="11">
        <v>29</v>
      </c>
      <c r="N225" s="11">
        <v>23</v>
      </c>
      <c r="O225" s="11">
        <v>21</v>
      </c>
      <c r="P225" s="16"/>
      <c r="Q225" s="16"/>
      <c r="R225" s="16"/>
      <c r="S225" s="16"/>
    </row>
    <row r="226" spans="1:21" x14ac:dyDescent="0.25">
      <c r="A226" s="12"/>
      <c r="B226" s="12"/>
      <c r="C226" s="13" t="s">
        <v>30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7"/>
      <c r="Q226" s="17"/>
      <c r="R226" s="17"/>
      <c r="S226" s="17"/>
    </row>
    <row r="227" spans="1:21" x14ac:dyDescent="0.25">
      <c r="A227" s="3" t="s">
        <v>250</v>
      </c>
      <c r="B227" s="4" t="s">
        <v>251</v>
      </c>
      <c r="C227" s="5" t="s">
        <v>27</v>
      </c>
      <c r="D227" s="6">
        <v>50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50</v>
      </c>
      <c r="L227" s="6">
        <v>0</v>
      </c>
      <c r="M227" s="6">
        <v>0</v>
      </c>
      <c r="N227" s="6">
        <v>0</v>
      </c>
      <c r="O227" s="6">
        <v>0</v>
      </c>
      <c r="P227" s="18">
        <v>50</v>
      </c>
      <c r="Q227" s="19">
        <v>19</v>
      </c>
      <c r="R227" s="15">
        <v>0</v>
      </c>
      <c r="S227" s="20">
        <v>3.49</v>
      </c>
      <c r="U227" s="7">
        <f>IF(R227="",0,R227)*S227</f>
        <v>0</v>
      </c>
    </row>
    <row r="228" spans="1:21" x14ac:dyDescent="0.25">
      <c r="A228" s="8" t="s">
        <v>252</v>
      </c>
      <c r="B228" s="9"/>
      <c r="C228" s="10" t="s">
        <v>29</v>
      </c>
      <c r="D228" s="11">
        <v>7</v>
      </c>
      <c r="E228" s="11">
        <v>5</v>
      </c>
      <c r="F228" s="11">
        <v>16</v>
      </c>
      <c r="G228" s="11">
        <v>9</v>
      </c>
      <c r="H228" s="11">
        <v>3</v>
      </c>
      <c r="I228" s="11">
        <v>4</v>
      </c>
      <c r="J228" s="11">
        <v>2</v>
      </c>
      <c r="K228" s="11">
        <v>5</v>
      </c>
      <c r="L228" s="11">
        <v>16</v>
      </c>
      <c r="M228" s="11">
        <v>10</v>
      </c>
      <c r="N228" s="11">
        <v>1</v>
      </c>
      <c r="O228" s="11">
        <v>3</v>
      </c>
      <c r="P228" s="16"/>
      <c r="Q228" s="16"/>
      <c r="R228" s="16"/>
      <c r="S228" s="16"/>
    </row>
    <row r="229" spans="1:21" x14ac:dyDescent="0.25">
      <c r="A229" s="12"/>
      <c r="B229" s="12"/>
      <c r="C229" s="13" t="s">
        <v>30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7"/>
      <c r="Q229" s="17"/>
      <c r="R229" s="17"/>
      <c r="S229" s="17"/>
    </row>
    <row r="230" spans="1:21" x14ac:dyDescent="0.25">
      <c r="A230" s="3" t="s">
        <v>253</v>
      </c>
      <c r="B230" s="4" t="s">
        <v>254</v>
      </c>
      <c r="C230" s="5" t="s">
        <v>27</v>
      </c>
      <c r="D230" s="6">
        <v>50</v>
      </c>
      <c r="E230" s="6">
        <v>0</v>
      </c>
      <c r="F230" s="6">
        <v>0</v>
      </c>
      <c r="G230" s="6">
        <v>25</v>
      </c>
      <c r="H230" s="6">
        <v>25</v>
      </c>
      <c r="I230" s="6">
        <v>50</v>
      </c>
      <c r="J230" s="6">
        <v>0</v>
      </c>
      <c r="K230" s="6">
        <v>25</v>
      </c>
      <c r="L230" s="6">
        <v>0</v>
      </c>
      <c r="M230" s="6">
        <v>25</v>
      </c>
      <c r="N230" s="6">
        <v>25</v>
      </c>
      <c r="O230" s="6">
        <v>0</v>
      </c>
      <c r="P230" s="18">
        <v>25</v>
      </c>
      <c r="Q230" s="19">
        <v>19</v>
      </c>
      <c r="R230" s="15">
        <v>0</v>
      </c>
      <c r="S230" s="20">
        <v>5.8</v>
      </c>
      <c r="U230" s="7">
        <f>IF(R230="",0,R230)*S230</f>
        <v>0</v>
      </c>
    </row>
    <row r="231" spans="1:21" x14ac:dyDescent="0.25">
      <c r="A231" s="8" t="s">
        <v>255</v>
      </c>
      <c r="B231" s="9"/>
      <c r="C231" s="10" t="s">
        <v>29</v>
      </c>
      <c r="D231" s="11">
        <v>3</v>
      </c>
      <c r="E231" s="11">
        <v>4</v>
      </c>
      <c r="F231" s="11">
        <v>25</v>
      </c>
      <c r="G231" s="11">
        <v>28</v>
      </c>
      <c r="H231" s="11">
        <v>33</v>
      </c>
      <c r="I231" s="11">
        <v>19</v>
      </c>
      <c r="J231" s="11">
        <v>17</v>
      </c>
      <c r="K231" s="11">
        <v>16</v>
      </c>
      <c r="L231" s="11">
        <v>19</v>
      </c>
      <c r="M231" s="11">
        <v>21</v>
      </c>
      <c r="N231" s="11">
        <v>8</v>
      </c>
      <c r="O231" s="11">
        <v>13</v>
      </c>
      <c r="P231" s="16"/>
      <c r="Q231" s="16"/>
      <c r="R231" s="16"/>
      <c r="S231" s="16"/>
    </row>
    <row r="232" spans="1:21" x14ac:dyDescent="0.25">
      <c r="A232" s="12"/>
      <c r="B232" s="12"/>
      <c r="C232" s="13" t="s">
        <v>30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7"/>
      <c r="Q232" s="17"/>
      <c r="R232" s="17"/>
      <c r="S232" s="17"/>
    </row>
    <row r="233" spans="1:21" x14ac:dyDescent="0.25">
      <c r="A233" s="3" t="s">
        <v>256</v>
      </c>
      <c r="B233" s="4" t="s">
        <v>257</v>
      </c>
      <c r="C233" s="5" t="s">
        <v>27</v>
      </c>
      <c r="D233" s="6">
        <v>12</v>
      </c>
      <c r="E233" s="6">
        <v>0</v>
      </c>
      <c r="F233" s="6">
        <v>0</v>
      </c>
      <c r="G233" s="6">
        <v>12</v>
      </c>
      <c r="H233" s="6">
        <v>0</v>
      </c>
      <c r="I233" s="6">
        <v>0</v>
      </c>
      <c r="J233" s="6">
        <v>12</v>
      </c>
      <c r="K233" s="6">
        <v>0</v>
      </c>
      <c r="L233" s="6">
        <v>12</v>
      </c>
      <c r="M233" s="6">
        <v>0</v>
      </c>
      <c r="N233" s="6">
        <v>0</v>
      </c>
      <c r="O233" s="6">
        <v>0</v>
      </c>
      <c r="P233" s="18">
        <v>12</v>
      </c>
      <c r="Q233" s="19">
        <v>5</v>
      </c>
      <c r="R233" s="15">
        <v>0</v>
      </c>
      <c r="S233" s="20">
        <v>9.8000000000000007</v>
      </c>
      <c r="U233" s="7">
        <f>IF(R233="",0,R233)*S233</f>
        <v>0</v>
      </c>
    </row>
    <row r="234" spans="1:21" x14ac:dyDescent="0.25">
      <c r="A234" s="8" t="s">
        <v>258</v>
      </c>
      <c r="B234" s="9"/>
      <c r="C234" s="10" t="s">
        <v>29</v>
      </c>
      <c r="D234" s="11">
        <v>1</v>
      </c>
      <c r="E234" s="11">
        <v>5</v>
      </c>
      <c r="F234" s="11">
        <v>5</v>
      </c>
      <c r="G234" s="11">
        <v>7</v>
      </c>
      <c r="H234" s="11">
        <v>2</v>
      </c>
      <c r="I234" s="11">
        <v>2</v>
      </c>
      <c r="J234" s="11">
        <v>5</v>
      </c>
      <c r="K234" s="11">
        <v>3</v>
      </c>
      <c r="L234" s="11">
        <v>2</v>
      </c>
      <c r="M234" s="11">
        <v>2</v>
      </c>
      <c r="N234" s="11">
        <v>3</v>
      </c>
      <c r="O234" s="11">
        <v>6</v>
      </c>
      <c r="P234" s="16"/>
      <c r="Q234" s="16"/>
      <c r="R234" s="16"/>
      <c r="S234" s="16"/>
    </row>
    <row r="235" spans="1:21" x14ac:dyDescent="0.25">
      <c r="A235" s="12"/>
      <c r="B235" s="12"/>
      <c r="C235" s="13" t="s">
        <v>30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7"/>
      <c r="Q235" s="17"/>
      <c r="R235" s="17"/>
      <c r="S235" s="17"/>
    </row>
    <row r="236" spans="1:21" x14ac:dyDescent="0.25">
      <c r="A236" s="3" t="s">
        <v>259</v>
      </c>
      <c r="B236" s="4" t="s">
        <v>260</v>
      </c>
      <c r="C236" s="5" t="s">
        <v>27</v>
      </c>
      <c r="D236" s="6">
        <v>0</v>
      </c>
      <c r="E236" s="6">
        <v>0</v>
      </c>
      <c r="F236" s="6">
        <v>72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18">
        <v>72</v>
      </c>
      <c r="Q236" s="19">
        <v>0</v>
      </c>
      <c r="R236" s="15">
        <v>0</v>
      </c>
      <c r="S236" s="20">
        <v>3.8041670000000001</v>
      </c>
      <c r="U236" s="7">
        <f>IF(R236="",0,R236)*S236</f>
        <v>0</v>
      </c>
    </row>
    <row r="237" spans="1:21" x14ac:dyDescent="0.25">
      <c r="A237" s="8" t="s">
        <v>261</v>
      </c>
      <c r="B237" s="9"/>
      <c r="C237" s="10" t="s">
        <v>29</v>
      </c>
      <c r="D237" s="11">
        <v>6</v>
      </c>
      <c r="E237" s="11">
        <v>7</v>
      </c>
      <c r="F237" s="11">
        <v>47</v>
      </c>
      <c r="G237" s="11">
        <v>3</v>
      </c>
      <c r="H237" s="11">
        <v>4</v>
      </c>
      <c r="I237" s="11">
        <v>9</v>
      </c>
      <c r="J237" s="11">
        <v>7</v>
      </c>
      <c r="K237" s="11">
        <v>0</v>
      </c>
      <c r="L237" s="11">
        <v>3</v>
      </c>
      <c r="M237" s="11">
        <v>1</v>
      </c>
      <c r="N237" s="11">
        <v>2</v>
      </c>
      <c r="O237" s="11">
        <v>5</v>
      </c>
      <c r="P237" s="16"/>
      <c r="Q237" s="16"/>
      <c r="R237" s="16"/>
      <c r="S237" s="16"/>
    </row>
    <row r="238" spans="1:21" x14ac:dyDescent="0.25">
      <c r="A238" s="12"/>
      <c r="B238" s="12"/>
      <c r="C238" s="13" t="s">
        <v>30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7"/>
      <c r="Q238" s="17"/>
      <c r="R238" s="17"/>
      <c r="S238" s="17"/>
    </row>
    <row r="239" spans="1:21" x14ac:dyDescent="0.25">
      <c r="A239" s="3" t="s">
        <v>262</v>
      </c>
      <c r="B239" s="4" t="s">
        <v>263</v>
      </c>
      <c r="C239" s="5" t="s">
        <v>27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60</v>
      </c>
      <c r="N239" s="6">
        <v>0</v>
      </c>
      <c r="O239" s="6">
        <v>0</v>
      </c>
      <c r="P239" s="18">
        <v>60</v>
      </c>
      <c r="Q239" s="19">
        <v>11</v>
      </c>
      <c r="R239" s="15">
        <v>0</v>
      </c>
      <c r="S239" s="20">
        <v>7.49</v>
      </c>
      <c r="U239" s="7">
        <f>IF(R239="",0,R239)*S239</f>
        <v>0</v>
      </c>
    </row>
    <row r="240" spans="1:21" x14ac:dyDescent="0.25">
      <c r="A240" s="8" t="s">
        <v>264</v>
      </c>
      <c r="B240" s="9"/>
      <c r="C240" s="10" t="s">
        <v>29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43</v>
      </c>
      <c r="O240" s="11">
        <v>6</v>
      </c>
      <c r="P240" s="16"/>
      <c r="Q240" s="16"/>
      <c r="R240" s="16"/>
      <c r="S240" s="16"/>
    </row>
    <row r="241" spans="1:21" x14ac:dyDescent="0.25">
      <c r="A241" s="12"/>
      <c r="B241" s="12"/>
      <c r="C241" s="13" t="s">
        <v>30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7"/>
      <c r="Q241" s="17"/>
      <c r="R241" s="17"/>
      <c r="S241" s="17"/>
    </row>
    <row r="242" spans="1:21" x14ac:dyDescent="0.25">
      <c r="A242" s="3" t="s">
        <v>265</v>
      </c>
      <c r="B242" s="4" t="s">
        <v>266</v>
      </c>
      <c r="C242" s="5" t="s">
        <v>27</v>
      </c>
      <c r="D242" s="6">
        <v>0</v>
      </c>
      <c r="E242" s="6">
        <v>0</v>
      </c>
      <c r="F242" s="6">
        <v>168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18">
        <v>168</v>
      </c>
      <c r="Q242" s="19">
        <v>12</v>
      </c>
      <c r="R242" s="15">
        <v>0</v>
      </c>
      <c r="S242" s="20">
        <v>3.7408329999999999</v>
      </c>
      <c r="U242" s="7">
        <f>IF(R242="",0,R242)*S242</f>
        <v>0</v>
      </c>
    </row>
    <row r="243" spans="1:21" x14ac:dyDescent="0.25">
      <c r="A243" s="8" t="s">
        <v>267</v>
      </c>
      <c r="B243" s="9"/>
      <c r="C243" s="10" t="s">
        <v>29</v>
      </c>
      <c r="D243" s="11">
        <v>0</v>
      </c>
      <c r="E243" s="11">
        <v>0</v>
      </c>
      <c r="F243" s="11">
        <v>133</v>
      </c>
      <c r="G243" s="11">
        <v>4</v>
      </c>
      <c r="H243" s="11">
        <v>2</v>
      </c>
      <c r="I243" s="11">
        <v>2</v>
      </c>
      <c r="J243" s="11">
        <v>0</v>
      </c>
      <c r="K243" s="11">
        <v>3</v>
      </c>
      <c r="L243" s="11">
        <v>7</v>
      </c>
      <c r="M243" s="11">
        <v>0</v>
      </c>
      <c r="N243" s="11">
        <v>4</v>
      </c>
      <c r="O243" s="11">
        <v>1</v>
      </c>
      <c r="P243" s="16"/>
      <c r="Q243" s="16"/>
      <c r="R243" s="16"/>
      <c r="S243" s="16"/>
    </row>
    <row r="244" spans="1:21" x14ac:dyDescent="0.25">
      <c r="A244" s="12"/>
      <c r="B244" s="12"/>
      <c r="C244" s="13" t="s">
        <v>30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7"/>
      <c r="Q244" s="17"/>
      <c r="R244" s="17"/>
      <c r="S244" s="17"/>
    </row>
    <row r="245" spans="1:21" x14ac:dyDescent="0.25">
      <c r="A245" s="3" t="s">
        <v>268</v>
      </c>
      <c r="B245" s="4" t="s">
        <v>269</v>
      </c>
      <c r="C245" s="5" t="s">
        <v>27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24</v>
      </c>
      <c r="M245" s="6">
        <v>0</v>
      </c>
      <c r="N245" s="6">
        <v>0</v>
      </c>
      <c r="O245" s="6">
        <v>0</v>
      </c>
      <c r="P245" s="18">
        <v>24</v>
      </c>
      <c r="Q245" s="19">
        <v>0</v>
      </c>
      <c r="R245" s="15">
        <v>0</v>
      </c>
      <c r="S245" s="20">
        <v>3.9908329999999999</v>
      </c>
      <c r="U245" s="7">
        <f>IF(R245="",0,R245)*S245</f>
        <v>0</v>
      </c>
    </row>
    <row r="246" spans="1:21" x14ac:dyDescent="0.25">
      <c r="A246" s="8" t="s">
        <v>270</v>
      </c>
      <c r="B246" s="9"/>
      <c r="C246" s="10" t="s">
        <v>29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13</v>
      </c>
      <c r="M246" s="11">
        <v>11</v>
      </c>
      <c r="N246" s="11">
        <v>0</v>
      </c>
      <c r="O246" s="11">
        <v>0</v>
      </c>
      <c r="P246" s="16"/>
      <c r="Q246" s="16"/>
      <c r="R246" s="16"/>
      <c r="S246" s="16"/>
    </row>
    <row r="247" spans="1:21" x14ac:dyDescent="0.25">
      <c r="A247" s="12"/>
      <c r="B247" s="12"/>
      <c r="C247" s="13" t="s">
        <v>30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7"/>
      <c r="Q247" s="17"/>
      <c r="R247" s="17"/>
      <c r="S247" s="17"/>
    </row>
  </sheetData>
  <mergeCells count="338">
    <mergeCell ref="S224:S226"/>
    <mergeCell ref="Q143:Q145"/>
    <mergeCell ref="Q161:Q163"/>
    <mergeCell ref="P116:P118"/>
    <mergeCell ref="C3:C4"/>
    <mergeCell ref="P95:P97"/>
    <mergeCell ref="R95:R97"/>
    <mergeCell ref="Q50:Q52"/>
    <mergeCell ref="Q221:Q223"/>
    <mergeCell ref="N2:S2"/>
    <mergeCell ref="R122:R124"/>
    <mergeCell ref="P224:P226"/>
    <mergeCell ref="R224:R226"/>
    <mergeCell ref="Q116:Q118"/>
    <mergeCell ref="S20:S22"/>
    <mergeCell ref="Q158:Q160"/>
    <mergeCell ref="Q47:Q49"/>
    <mergeCell ref="S47:S49"/>
    <mergeCell ref="P113:P115"/>
    <mergeCell ref="S149:S151"/>
    <mergeCell ref="P50:P52"/>
    <mergeCell ref="P44:P46"/>
    <mergeCell ref="R44:R46"/>
    <mergeCell ref="S86:S88"/>
    <mergeCell ref="Q122:Q124"/>
    <mergeCell ref="R212:R214"/>
    <mergeCell ref="R83:R85"/>
    <mergeCell ref="Q38:Q40"/>
    <mergeCell ref="P245:P247"/>
    <mergeCell ref="P239:P241"/>
    <mergeCell ref="R140:R142"/>
    <mergeCell ref="R5:R7"/>
    <mergeCell ref="Q32:Q34"/>
    <mergeCell ref="S32:S34"/>
    <mergeCell ref="S161:S163"/>
    <mergeCell ref="S188:S190"/>
    <mergeCell ref="S98:S100"/>
    <mergeCell ref="S203:S205"/>
    <mergeCell ref="P158:P160"/>
    <mergeCell ref="R158:R160"/>
    <mergeCell ref="P242:P244"/>
    <mergeCell ref="Q209:Q211"/>
    <mergeCell ref="S38:S40"/>
    <mergeCell ref="S209:S211"/>
    <mergeCell ref="R20:R22"/>
    <mergeCell ref="P179:P181"/>
    <mergeCell ref="Q104:Q106"/>
    <mergeCell ref="S104:S106"/>
    <mergeCell ref="P230:P232"/>
    <mergeCell ref="R230:R232"/>
    <mergeCell ref="S35:S37"/>
    <mergeCell ref="P167:P169"/>
    <mergeCell ref="J2:M2"/>
    <mergeCell ref="Q110:Q112"/>
    <mergeCell ref="Q239:Q241"/>
    <mergeCell ref="S140:S142"/>
    <mergeCell ref="S167:S169"/>
    <mergeCell ref="S77:S79"/>
    <mergeCell ref="S11:S13"/>
    <mergeCell ref="S182:S184"/>
    <mergeCell ref="R137:R139"/>
    <mergeCell ref="R74:R76"/>
    <mergeCell ref="Q29:Q31"/>
    <mergeCell ref="Q200:Q202"/>
    <mergeCell ref="R203:R205"/>
    <mergeCell ref="S158:S160"/>
    <mergeCell ref="Q95:Q97"/>
    <mergeCell ref="Q89:Q91"/>
    <mergeCell ref="S95:S97"/>
    <mergeCell ref="S89:S91"/>
    <mergeCell ref="P221:P223"/>
    <mergeCell ref="P236:P238"/>
    <mergeCell ref="P92:P94"/>
    <mergeCell ref="R92:R94"/>
    <mergeCell ref="P5:P7"/>
    <mergeCell ref="Q164:Q166"/>
    <mergeCell ref="S8:S10"/>
    <mergeCell ref="R164:R166"/>
    <mergeCell ref="P131:P133"/>
    <mergeCell ref="Q23:Q25"/>
    <mergeCell ref="S23:S25"/>
    <mergeCell ref="P149:P151"/>
    <mergeCell ref="R149:R151"/>
    <mergeCell ref="R17:R19"/>
    <mergeCell ref="R188:R190"/>
    <mergeCell ref="P53:P55"/>
    <mergeCell ref="R53:R55"/>
    <mergeCell ref="P29:P31"/>
    <mergeCell ref="S164:S166"/>
    <mergeCell ref="R29:R31"/>
    <mergeCell ref="R23:R25"/>
    <mergeCell ref="Q113:Q115"/>
    <mergeCell ref="S17:S19"/>
    <mergeCell ref="R89:R91"/>
    <mergeCell ref="Q44:Q46"/>
    <mergeCell ref="P170:P172"/>
    <mergeCell ref="S83:S85"/>
    <mergeCell ref="R167:R169"/>
    <mergeCell ref="R161:R163"/>
    <mergeCell ref="P38:P40"/>
    <mergeCell ref="F2:H2"/>
    <mergeCell ref="R77:R79"/>
    <mergeCell ref="Q134:Q136"/>
    <mergeCell ref="S134:S136"/>
    <mergeCell ref="S50:S52"/>
    <mergeCell ref="Q71:Q73"/>
    <mergeCell ref="A1:S1"/>
    <mergeCell ref="R191:R193"/>
    <mergeCell ref="P56:P58"/>
    <mergeCell ref="Q83:Q85"/>
    <mergeCell ref="R113:R115"/>
    <mergeCell ref="P32:P34"/>
    <mergeCell ref="R32:R34"/>
    <mergeCell ref="R26:R28"/>
    <mergeCell ref="R50:R52"/>
    <mergeCell ref="Q191:Q193"/>
    <mergeCell ref="P146:P148"/>
    <mergeCell ref="P173:P175"/>
    <mergeCell ref="S119:S121"/>
    <mergeCell ref="R179:R181"/>
    <mergeCell ref="P110:P112"/>
    <mergeCell ref="S71:S73"/>
    <mergeCell ref="Q8:Q10"/>
    <mergeCell ref="Q137:Q139"/>
    <mergeCell ref="A2:E2"/>
    <mergeCell ref="P3:P4"/>
    <mergeCell ref="R3:R4"/>
    <mergeCell ref="Q62:Q64"/>
    <mergeCell ref="S131:S133"/>
    <mergeCell ref="R221:R223"/>
    <mergeCell ref="S176:S178"/>
    <mergeCell ref="R236:R238"/>
    <mergeCell ref="P101:P103"/>
    <mergeCell ref="R101:R103"/>
    <mergeCell ref="S191:S193"/>
    <mergeCell ref="P125:P127"/>
    <mergeCell ref="S113:S115"/>
    <mergeCell ref="S26:S28"/>
    <mergeCell ref="S197:S199"/>
    <mergeCell ref="P152:P154"/>
    <mergeCell ref="R152:R154"/>
    <mergeCell ref="R8:R10"/>
    <mergeCell ref="S44:S46"/>
    <mergeCell ref="P191:P193"/>
    <mergeCell ref="Q146:Q148"/>
    <mergeCell ref="R218:R220"/>
    <mergeCell ref="S200:S202"/>
    <mergeCell ref="S179:S181"/>
    <mergeCell ref="S245:S247"/>
    <mergeCell ref="P215:P217"/>
    <mergeCell ref="R215:R217"/>
    <mergeCell ref="Q107:Q109"/>
    <mergeCell ref="Q101:Q103"/>
    <mergeCell ref="Q149:Q151"/>
    <mergeCell ref="S29:S31"/>
    <mergeCell ref="P104:P106"/>
    <mergeCell ref="P164:P166"/>
    <mergeCell ref="P41:P43"/>
    <mergeCell ref="P35:P37"/>
    <mergeCell ref="Q215:Q217"/>
    <mergeCell ref="S215:S217"/>
    <mergeCell ref="S116:S118"/>
    <mergeCell ref="Q152:Q154"/>
    <mergeCell ref="S152:S154"/>
    <mergeCell ref="P107:P109"/>
    <mergeCell ref="R242:R244"/>
    <mergeCell ref="Q218:Q220"/>
    <mergeCell ref="S218:S220"/>
    <mergeCell ref="R245:R247"/>
    <mergeCell ref="R239:R241"/>
    <mergeCell ref="Q236:Q238"/>
    <mergeCell ref="S137:S139"/>
    <mergeCell ref="S3:S4"/>
    <mergeCell ref="P98:P100"/>
    <mergeCell ref="S239:S241"/>
    <mergeCell ref="B3:B4"/>
    <mergeCell ref="S92:S94"/>
    <mergeCell ref="P227:P229"/>
    <mergeCell ref="S5:S7"/>
    <mergeCell ref="R131:R133"/>
    <mergeCell ref="Q125:Q127"/>
    <mergeCell ref="S125:S127"/>
    <mergeCell ref="R197:R199"/>
    <mergeCell ref="R11:R13"/>
    <mergeCell ref="S170:S172"/>
    <mergeCell ref="Q194:Q196"/>
    <mergeCell ref="P155:P157"/>
    <mergeCell ref="S194:S196"/>
    <mergeCell ref="Q131:Q133"/>
    <mergeCell ref="P86:P88"/>
    <mergeCell ref="R86:R88"/>
    <mergeCell ref="Q173:Q175"/>
    <mergeCell ref="Q74:Q76"/>
    <mergeCell ref="S74:S76"/>
    <mergeCell ref="S68:S70"/>
    <mergeCell ref="P134:P136"/>
    <mergeCell ref="Q242:Q244"/>
    <mergeCell ref="R143:R145"/>
    <mergeCell ref="S236:S238"/>
    <mergeCell ref="P20:P22"/>
    <mergeCell ref="P14:P16"/>
    <mergeCell ref="R14:R16"/>
    <mergeCell ref="S173:S175"/>
    <mergeCell ref="Q140:Q142"/>
    <mergeCell ref="R65:R67"/>
    <mergeCell ref="S155:S157"/>
    <mergeCell ref="P80:P82"/>
    <mergeCell ref="R80:R82"/>
    <mergeCell ref="Q35:Q37"/>
    <mergeCell ref="Q206:Q208"/>
    <mergeCell ref="P161:P163"/>
    <mergeCell ref="P200:P202"/>
    <mergeCell ref="R200:R202"/>
    <mergeCell ref="R134:R136"/>
    <mergeCell ref="P71:P73"/>
    <mergeCell ref="R71:R73"/>
    <mergeCell ref="S230:S232"/>
    <mergeCell ref="S143:S145"/>
    <mergeCell ref="S242:S244"/>
    <mergeCell ref="Q92:Q94"/>
    <mergeCell ref="A3:A4"/>
    <mergeCell ref="S221:S223"/>
    <mergeCell ref="P89:P91"/>
    <mergeCell ref="P26:P28"/>
    <mergeCell ref="Q185:Q187"/>
    <mergeCell ref="S185:S187"/>
    <mergeCell ref="P128:P130"/>
    <mergeCell ref="R128:R130"/>
    <mergeCell ref="R146:R148"/>
    <mergeCell ref="P65:P67"/>
    <mergeCell ref="S53:S55"/>
    <mergeCell ref="Q20:Q22"/>
    <mergeCell ref="R194:R196"/>
    <mergeCell ref="R110:R112"/>
    <mergeCell ref="P17:P19"/>
    <mergeCell ref="Q176:Q178"/>
    <mergeCell ref="Q86:Q88"/>
    <mergeCell ref="Q80:Q82"/>
    <mergeCell ref="S80:S82"/>
    <mergeCell ref="P212:P214"/>
    <mergeCell ref="Q128:Q130"/>
    <mergeCell ref="P83:P85"/>
    <mergeCell ref="P143:P145"/>
    <mergeCell ref="Q3:Q4"/>
    <mergeCell ref="S233:S235"/>
    <mergeCell ref="P203:P205"/>
    <mergeCell ref="Q14:Q16"/>
    <mergeCell ref="S14:S16"/>
    <mergeCell ref="R173:R175"/>
    <mergeCell ref="P140:P142"/>
    <mergeCell ref="P77:P79"/>
    <mergeCell ref="P11:P13"/>
    <mergeCell ref="Q170:Q172"/>
    <mergeCell ref="S65:S67"/>
    <mergeCell ref="R125:R127"/>
    <mergeCell ref="P206:P208"/>
    <mergeCell ref="P62:P64"/>
    <mergeCell ref="R206:R208"/>
    <mergeCell ref="P233:P235"/>
    <mergeCell ref="R62:R64"/>
    <mergeCell ref="Q188:Q190"/>
    <mergeCell ref="Q203:Q205"/>
    <mergeCell ref="Q119:Q121"/>
    <mergeCell ref="P197:P199"/>
    <mergeCell ref="P218:P220"/>
    <mergeCell ref="Q197:Q199"/>
    <mergeCell ref="P209:P211"/>
    <mergeCell ref="R209:R211"/>
    <mergeCell ref="S227:S229"/>
    <mergeCell ref="R182:R184"/>
    <mergeCell ref="P59:P61"/>
    <mergeCell ref="P119:P121"/>
    <mergeCell ref="R59:R61"/>
    <mergeCell ref="R119:R121"/>
    <mergeCell ref="Q245:Q247"/>
    <mergeCell ref="Q26:Q28"/>
    <mergeCell ref="P8:P10"/>
    <mergeCell ref="Q155:Q157"/>
    <mergeCell ref="S128:S130"/>
    <mergeCell ref="P23:P25"/>
    <mergeCell ref="S146:S148"/>
    <mergeCell ref="Q182:Q184"/>
    <mergeCell ref="Q65:Q67"/>
    <mergeCell ref="P122:P124"/>
    <mergeCell ref="R56:R58"/>
    <mergeCell ref="S110:S112"/>
    <mergeCell ref="Q17:Q19"/>
    <mergeCell ref="P176:P178"/>
    <mergeCell ref="R176:R178"/>
    <mergeCell ref="R170:R172"/>
    <mergeCell ref="R107:R109"/>
    <mergeCell ref="Q233:Q235"/>
    <mergeCell ref="Q11:Q13"/>
    <mergeCell ref="Q98:Q100"/>
    <mergeCell ref="P137:P139"/>
    <mergeCell ref="P74:P76"/>
    <mergeCell ref="P68:P70"/>
    <mergeCell ref="R68:R70"/>
    <mergeCell ref="Q227:Q229"/>
    <mergeCell ref="D3:F3"/>
    <mergeCell ref="P188:P190"/>
    <mergeCell ref="G3:O3"/>
    <mergeCell ref="R38:R40"/>
    <mergeCell ref="R98:R100"/>
    <mergeCell ref="Q53:Q55"/>
    <mergeCell ref="Q68:Q70"/>
    <mergeCell ref="R227:R229"/>
    <mergeCell ref="P194:P196"/>
    <mergeCell ref="Q5:Q7"/>
    <mergeCell ref="Q224:Q226"/>
    <mergeCell ref="R233:R235"/>
    <mergeCell ref="R104:R106"/>
    <mergeCell ref="Q59:Q61"/>
    <mergeCell ref="Q230:Q232"/>
    <mergeCell ref="P185:P187"/>
    <mergeCell ref="R185:R187"/>
    <mergeCell ref="R41:R43"/>
    <mergeCell ref="R35:R37"/>
    <mergeCell ref="Q167:Q169"/>
    <mergeCell ref="R116:R118"/>
    <mergeCell ref="P47:P49"/>
    <mergeCell ref="R47:R49"/>
    <mergeCell ref="R155:R157"/>
    <mergeCell ref="Q41:Q43"/>
    <mergeCell ref="Q212:Q214"/>
    <mergeCell ref="S41:S43"/>
    <mergeCell ref="S212:S214"/>
    <mergeCell ref="Q77:Q79"/>
    <mergeCell ref="Q179:Q181"/>
    <mergeCell ref="Q56:Q58"/>
    <mergeCell ref="S56:S58"/>
    <mergeCell ref="P182:P184"/>
    <mergeCell ref="S107:S109"/>
    <mergeCell ref="S101:S103"/>
    <mergeCell ref="S62:S64"/>
    <mergeCell ref="S206:S208"/>
    <mergeCell ref="S59:S61"/>
    <mergeCell ref="S122:S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2026-09-29T22:54:49Z</dcterms:created>
  <dcterms:modified xsi:type="dcterms:W3CDTF">2026-09-29T22:56:30Z</dcterms:modified>
</cp:coreProperties>
</file>