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61491F30-BC1E-4E1B-97DC-12F77666740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9" i="1" l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<sst xmlns="http://schemas.openxmlformats.org/spreadsheetml/2006/main" count="91" uniqueCount="67">
  <si>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</si>
  <si>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</si>
  <si>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</si>
  <si>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</si>
  <si>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</si>
  <si>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</si>
  <si>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</si>
  <si>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</si>
  <si>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</si>
  <si>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</si>
  <si>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</si>
  <si>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</si>
  <si>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</si>
  <si>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</si>
  <si>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</si>
  <si>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</si>
  <si>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</si>
  <si>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</si>
  <si>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</si>
  <si>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</si>
  <si>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</si>
  <si>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</si>
  <si>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</si>
  <si>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</si>
  <si>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</si>
  <si>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</si>
  <si>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2554</t>
  </si>
  <si>
    <t>ACUCAR REFINADO NATURAL REI 1KG</t>
  </si>
  <si>
    <t>E</t>
  </si>
  <si>
    <t>7896667000261</t>
  </si>
  <si>
    <t>S</t>
  </si>
  <si>
    <t>32569</t>
  </si>
  <si>
    <t>ARROZ TIO JOAO 1KG TP 1</t>
  </si>
  <si>
    <t>7893500020110</t>
  </si>
  <si>
    <t>32570</t>
  </si>
  <si>
    <t>ARROZ TIO JOAO 5KG TP 1</t>
  </si>
  <si>
    <t>7893500020158</t>
  </si>
  <si>
    <t>3099</t>
  </si>
  <si>
    <t>FARINHA DE TRIGO ARAGUAIA 1KG</t>
  </si>
  <si>
    <t>7896533796748</t>
  </si>
  <si>
    <t>2534</t>
  </si>
  <si>
    <t>FARINHA DE TRIGO EMEGE 1KG</t>
  </si>
  <si>
    <t>7896533795369</t>
  </si>
  <si>
    <t>27287</t>
  </si>
  <si>
    <t>LEITE L VIDA DESNAT PARMALAT 1L</t>
  </si>
  <si>
    <t>7891097001048</t>
  </si>
  <si>
    <t>3609</t>
  </si>
  <si>
    <t>LEITE L VIDA INT LEITISSIMO 1L GFA</t>
  </si>
  <si>
    <t>7898939247015</t>
  </si>
  <si>
    <t>27288</t>
  </si>
  <si>
    <t>LEITE L VIDA INT PARMALAT 1L GFA</t>
  </si>
  <si>
    <t>7891097001024</t>
  </si>
  <si>
    <t>14836</t>
  </si>
  <si>
    <t>LEITE L VIDA INT TIROL 1L</t>
  </si>
  <si>
    <t>7896256600223</t>
  </si>
  <si>
    <t>27631</t>
  </si>
  <si>
    <t>LEITE L VIDA SEMIDES PARMALAT 1L</t>
  </si>
  <si>
    <t>7891097001031</t>
  </si>
  <si>
    <t>2607</t>
  </si>
  <si>
    <t>OLEO DE GIRASSOL SINHA 900ML</t>
  </si>
  <si>
    <t>7892300030565</t>
  </si>
  <si>
    <t>11716</t>
  </si>
  <si>
    <t>OLEO DE SOJA VILA VELHA 900ML</t>
  </si>
  <si>
    <t>7896223709423</t>
  </si>
  <si>
    <t>34143</t>
  </si>
  <si>
    <t>OLEO DE SOJA VITALIV PET 900ML</t>
  </si>
  <si>
    <t>7898247780297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</si>
</sst>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pane xSplit="3" ySplit="4" topLeftCell="F5" activePane="bottomRight" state="frozen"/>
      <selection pane="topRight"/>
      <selection pane="bottomLeft"/>
      <selection pane="bottomRight" activeCell="S19" sqref="S19:S20"/>
    </sheetView>
  </sheetViews>
  <sheetFormatPr defaultRowHeight="15" x14ac:dyDescent="0.25"/>
  <cols>
    <col min="1" max="1" width="12" customWidth="1"/>
    <col min="2" max="2" width="37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20" t="s">
        <v>1</v>
      </c>
      <c r="B2" s="18"/>
      <c r="C2" s="18"/>
      <c r="D2" s="18"/>
      <c r="E2" s="18"/>
      <c r="F2" s="17" t="s">
        <v>2</v>
      </c>
      <c r="G2" s="18"/>
      <c r="H2" s="18"/>
      <c r="I2" s="1">
        <v>13</v>
      </c>
      <c r="J2" s="17" t="s">
        <v>3</v>
      </c>
      <c r="K2" s="18"/>
      <c r="L2" s="18"/>
      <c r="M2" s="18"/>
      <c r="N2" s="21">
        <f>IFERROR(SUMPRODUCT(U3:U100000),0)</f>
        <v>729.71999999999991</v>
      </c>
      <c r="O2" s="18"/>
      <c r="P2" s="18"/>
      <c r="Q2" s="18"/>
      <c r="R2" s="18"/>
      <c r="S2" s="18"/>
      <c r="T2" s="18"/>
    </row>
    <row r="3" spans="1:21" ht="18" customHeight="1" x14ac:dyDescent="0.25">
      <c r="A3" s="15" t="s">
        <v>4</v>
      </c>
      <c r="B3" s="15" t="s">
        <v>5</v>
      </c>
      <c r="C3" s="15" t="s">
        <v>6</v>
      </c>
      <c r="D3" s="15" t="s">
        <v>7</v>
      </c>
      <c r="E3" s="15"/>
      <c r="F3" s="15"/>
      <c r="G3" s="15" t="s">
        <v>8</v>
      </c>
      <c r="H3" s="15"/>
      <c r="I3" s="15"/>
      <c r="J3" s="15"/>
      <c r="K3" s="15"/>
      <c r="L3" s="15"/>
      <c r="M3" s="15"/>
      <c r="N3" s="15"/>
      <c r="O3" s="15"/>
      <c r="P3" s="15" t="s">
        <v>9</v>
      </c>
      <c r="Q3" s="15" t="s">
        <v>10</v>
      </c>
      <c r="R3" s="15" t="s">
        <v>11</v>
      </c>
      <c r="S3" s="15" t="s">
        <v>12</v>
      </c>
      <c r="T3" s="15" t="s">
        <v>13</v>
      </c>
    </row>
    <row r="4" spans="1:21" ht="20.100000000000001" customHeight="1" x14ac:dyDescent="0.25">
      <c r="A4" s="15"/>
      <c r="B4" s="15"/>
      <c r="C4" s="15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5"/>
      <c r="Q4" s="15"/>
      <c r="R4" s="15"/>
      <c r="S4" s="15"/>
      <c r="T4" s="15"/>
    </row>
    <row r="5" spans="1:21" x14ac:dyDescent="0.25">
      <c r="A5" s="3" t="s">
        <v>26</v>
      </c>
      <c r="B5" s="4" t="s">
        <v>27</v>
      </c>
      <c r="C5" s="5" t="s">
        <v>28</v>
      </c>
      <c r="D5" s="6">
        <v>0</v>
      </c>
      <c r="E5" s="6">
        <v>30</v>
      </c>
      <c r="F5" s="6">
        <v>30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>
        <v>3</v>
      </c>
      <c r="Q5" s="7">
        <v>10</v>
      </c>
      <c r="R5" s="7">
        <v>0</v>
      </c>
      <c r="S5" s="13">
        <v>12</v>
      </c>
      <c r="T5" s="16">
        <v>3.83</v>
      </c>
      <c r="U5" s="8">
        <f>IF(S5="",0,S5)*T5</f>
        <v>45.96</v>
      </c>
    </row>
    <row r="6" spans="1:21" x14ac:dyDescent="0.25">
      <c r="A6" s="9" t="s">
        <v>29</v>
      </c>
      <c r="B6" s="10"/>
      <c r="C6" s="11" t="s">
        <v>30</v>
      </c>
      <c r="D6" s="12">
        <v>9</v>
      </c>
      <c r="E6" s="12">
        <v>11</v>
      </c>
      <c r="F6" s="12">
        <v>16</v>
      </c>
      <c r="G6" s="12">
        <v>20</v>
      </c>
      <c r="H6" s="12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0</v>
      </c>
      <c r="E7" s="6">
        <v>0</v>
      </c>
      <c r="F7" s="6">
        <v>0</v>
      </c>
      <c r="G7" s="6">
        <v>60</v>
      </c>
      <c r="H7" s="6">
        <v>0</v>
      </c>
      <c r="I7" s="6">
        <v>0</v>
      </c>
      <c r="J7" s="6">
        <v>0</v>
      </c>
      <c r="K7" s="6">
        <v>50</v>
      </c>
      <c r="L7" s="6">
        <v>0</v>
      </c>
      <c r="M7" s="6">
        <v>0</v>
      </c>
      <c r="N7" s="6">
        <v>0</v>
      </c>
      <c r="O7" s="6">
        <v>60</v>
      </c>
      <c r="P7" s="7">
        <v>19</v>
      </c>
      <c r="Q7" s="7">
        <v>1</v>
      </c>
      <c r="R7" s="7">
        <v>19</v>
      </c>
      <c r="S7" s="13">
        <v>12</v>
      </c>
      <c r="T7" s="16">
        <v>6.91</v>
      </c>
      <c r="U7" s="8">
        <f>IF(S7="",0,S7)*T7</f>
        <v>82.92</v>
      </c>
    </row>
    <row r="8" spans="1:21" x14ac:dyDescent="0.25">
      <c r="A8" s="9" t="s">
        <v>33</v>
      </c>
      <c r="B8" s="10"/>
      <c r="C8" s="11" t="s">
        <v>30</v>
      </c>
      <c r="D8" s="12">
        <v>0</v>
      </c>
      <c r="E8" s="12">
        <v>0</v>
      </c>
      <c r="F8" s="12">
        <v>0</v>
      </c>
      <c r="G8" s="12">
        <v>10</v>
      </c>
      <c r="H8" s="12">
        <v>17</v>
      </c>
      <c r="I8" s="12">
        <v>8</v>
      </c>
      <c r="J8" s="12">
        <v>16</v>
      </c>
      <c r="K8" s="12">
        <v>10</v>
      </c>
      <c r="L8" s="12">
        <v>14</v>
      </c>
      <c r="M8" s="12">
        <v>9</v>
      </c>
      <c r="N8" s="12">
        <v>17</v>
      </c>
      <c r="O8" s="12">
        <v>50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0</v>
      </c>
      <c r="E9" s="6">
        <v>0</v>
      </c>
      <c r="F9" s="6">
        <v>0</v>
      </c>
      <c r="G9" s="6">
        <v>18</v>
      </c>
      <c r="H9" s="6">
        <v>0</v>
      </c>
      <c r="I9" s="6">
        <v>0</v>
      </c>
      <c r="J9" s="6">
        <v>0</v>
      </c>
      <c r="K9" s="6">
        <v>18</v>
      </c>
      <c r="L9" s="6">
        <v>0</v>
      </c>
      <c r="M9" s="6">
        <v>0</v>
      </c>
      <c r="N9" s="6">
        <v>0</v>
      </c>
      <c r="O9" s="6">
        <v>0</v>
      </c>
      <c r="P9" s="7">
        <v>8</v>
      </c>
      <c r="Q9" s="7">
        <v>1</v>
      </c>
      <c r="R9" s="7">
        <v>3</v>
      </c>
      <c r="S9" s="13">
        <v>12</v>
      </c>
      <c r="T9" s="16">
        <v>31.71</v>
      </c>
      <c r="U9" s="8">
        <f>IF(S9="",0,S9)*T9</f>
        <v>380.52</v>
      </c>
    </row>
    <row r="10" spans="1:21" x14ac:dyDescent="0.25">
      <c r="A10" s="9" t="s">
        <v>36</v>
      </c>
      <c r="B10" s="10"/>
      <c r="C10" s="11" t="s">
        <v>30</v>
      </c>
      <c r="D10" s="12">
        <v>0</v>
      </c>
      <c r="E10" s="12">
        <v>0</v>
      </c>
      <c r="F10" s="12">
        <v>0</v>
      </c>
      <c r="G10" s="12">
        <v>4</v>
      </c>
      <c r="H10" s="12">
        <v>2</v>
      </c>
      <c r="I10" s="12">
        <v>3</v>
      </c>
      <c r="J10" s="12">
        <v>5</v>
      </c>
      <c r="K10" s="12">
        <v>4</v>
      </c>
      <c r="L10" s="12">
        <v>2</v>
      </c>
      <c r="M10" s="12">
        <v>2</v>
      </c>
      <c r="N10" s="12">
        <v>2</v>
      </c>
      <c r="O10" s="12">
        <v>4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0</v>
      </c>
      <c r="E11" s="6">
        <v>420</v>
      </c>
      <c r="F11" s="6">
        <v>0</v>
      </c>
      <c r="G11" s="6">
        <v>0</v>
      </c>
      <c r="H11" s="6">
        <v>0</v>
      </c>
      <c r="I11" s="6">
        <v>120</v>
      </c>
      <c r="J11" s="6">
        <v>420</v>
      </c>
      <c r="K11" s="6">
        <v>360</v>
      </c>
      <c r="L11" s="6">
        <v>0</v>
      </c>
      <c r="M11" s="6">
        <v>0</v>
      </c>
      <c r="N11" s="6">
        <v>0</v>
      </c>
      <c r="O11" s="6">
        <v>0</v>
      </c>
      <c r="P11" s="7">
        <v>132</v>
      </c>
      <c r="Q11" s="7">
        <v>10</v>
      </c>
      <c r="R11" s="7">
        <v>100</v>
      </c>
      <c r="S11" s="13">
        <v>12</v>
      </c>
      <c r="T11" s="16">
        <v>2.89</v>
      </c>
      <c r="U11" s="8">
        <f>IF(S11="",0,S11)*T11</f>
        <v>34.68</v>
      </c>
    </row>
    <row r="12" spans="1:21" x14ac:dyDescent="0.25">
      <c r="A12" s="9" t="s">
        <v>39</v>
      </c>
      <c r="B12" s="10"/>
      <c r="C12" s="11" t="s">
        <v>30</v>
      </c>
      <c r="D12" s="12">
        <v>30</v>
      </c>
      <c r="E12" s="12">
        <v>50</v>
      </c>
      <c r="F12" s="12">
        <v>160</v>
      </c>
      <c r="G12" s="12">
        <v>118</v>
      </c>
      <c r="H12" s="12">
        <v>109</v>
      </c>
      <c r="I12" s="12">
        <v>119</v>
      </c>
      <c r="J12" s="12">
        <v>164</v>
      </c>
      <c r="K12" s="12">
        <v>181</v>
      </c>
      <c r="L12" s="12">
        <v>147</v>
      </c>
      <c r="M12" s="12">
        <v>99</v>
      </c>
      <c r="N12" s="12">
        <v>11</v>
      </c>
      <c r="O12" s="12">
        <v>0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40</v>
      </c>
      <c r="E13" s="6">
        <v>40</v>
      </c>
      <c r="F13" s="6">
        <v>0</v>
      </c>
      <c r="G13" s="6">
        <v>0</v>
      </c>
      <c r="H13" s="6">
        <v>0</v>
      </c>
      <c r="I13" s="6">
        <v>0</v>
      </c>
      <c r="J13" s="6">
        <v>40</v>
      </c>
      <c r="K13" s="6">
        <v>0</v>
      </c>
      <c r="L13" s="6">
        <v>20</v>
      </c>
      <c r="M13" s="6">
        <v>20</v>
      </c>
      <c r="N13" s="6">
        <v>60</v>
      </c>
      <c r="O13" s="6">
        <v>0</v>
      </c>
      <c r="P13" s="7">
        <v>30</v>
      </c>
      <c r="Q13" s="7">
        <v>10</v>
      </c>
      <c r="R13" s="7">
        <v>10</v>
      </c>
      <c r="S13" s="13">
        <v>12</v>
      </c>
      <c r="T13" s="16">
        <v>3.83</v>
      </c>
      <c r="U13" s="8">
        <f>IF(S13="",0,S13)*T13</f>
        <v>45.96</v>
      </c>
    </row>
    <row r="14" spans="1:21" x14ac:dyDescent="0.25">
      <c r="A14" s="9" t="s">
        <v>42</v>
      </c>
      <c r="B14" s="10"/>
      <c r="C14" s="11" t="s">
        <v>30</v>
      </c>
      <c r="D14" s="12">
        <v>20</v>
      </c>
      <c r="E14" s="12">
        <v>25</v>
      </c>
      <c r="F14" s="12">
        <v>20</v>
      </c>
      <c r="G14" s="12">
        <v>13</v>
      </c>
      <c r="H14" s="12">
        <v>0</v>
      </c>
      <c r="I14" s="12">
        <v>0</v>
      </c>
      <c r="J14" s="12">
        <v>21</v>
      </c>
      <c r="K14" s="12">
        <v>19</v>
      </c>
      <c r="L14" s="12">
        <v>9</v>
      </c>
      <c r="M14" s="12">
        <v>17</v>
      </c>
      <c r="N14" s="12">
        <v>36</v>
      </c>
      <c r="O14" s="12">
        <v>10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36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1</v>
      </c>
      <c r="Q15" s="7">
        <v>6</v>
      </c>
      <c r="R15" s="7">
        <v>0</v>
      </c>
      <c r="S15" s="13">
        <v>12</v>
      </c>
      <c r="T15" s="16">
        <v>4.1399999999999997</v>
      </c>
      <c r="U15" s="8">
        <f>IF(S15="",0,S15)*T15</f>
        <v>49.679999999999993</v>
      </c>
    </row>
    <row r="16" spans="1:21" x14ac:dyDescent="0.25">
      <c r="A16" s="9" t="s">
        <v>45</v>
      </c>
      <c r="B16" s="10"/>
      <c r="C16" s="11" t="s">
        <v>30</v>
      </c>
      <c r="D16" s="12">
        <v>0</v>
      </c>
      <c r="E16" s="12">
        <v>10</v>
      </c>
      <c r="F16" s="12">
        <v>9</v>
      </c>
      <c r="G16" s="12">
        <v>16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0</v>
      </c>
      <c r="E17" s="6">
        <v>12</v>
      </c>
      <c r="F17" s="6">
        <v>0</v>
      </c>
      <c r="G17" s="6">
        <v>0</v>
      </c>
      <c r="H17" s="6">
        <v>12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6</v>
      </c>
      <c r="R17" s="7">
        <v>0</v>
      </c>
      <c r="S17" s="13">
        <v>12</v>
      </c>
      <c r="T17" s="16">
        <v>7.5</v>
      </c>
      <c r="U17" s="8">
        <f>IF(S17="",0,S17)*T17</f>
        <v>90</v>
      </c>
    </row>
    <row r="18" spans="1:21" x14ac:dyDescent="0.25">
      <c r="A18" s="9" t="s">
        <v>48</v>
      </c>
      <c r="B18" s="10"/>
      <c r="C18" s="11" t="s">
        <v>30</v>
      </c>
      <c r="D18" s="12">
        <v>0</v>
      </c>
      <c r="E18" s="12">
        <v>1</v>
      </c>
      <c r="F18" s="12">
        <v>11</v>
      </c>
      <c r="G18" s="12">
        <v>0</v>
      </c>
      <c r="H18" s="12">
        <v>4</v>
      </c>
      <c r="I18" s="12">
        <v>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360</v>
      </c>
      <c r="E19" s="6">
        <v>0</v>
      </c>
      <c r="F19" s="6">
        <v>0</v>
      </c>
      <c r="G19" s="6">
        <v>0</v>
      </c>
      <c r="H19" s="6">
        <v>1800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0</v>
      </c>
      <c r="Q19" s="7">
        <v>6</v>
      </c>
      <c r="R19" s="7">
        <v>0</v>
      </c>
      <c r="S19" s="13">
        <v>0</v>
      </c>
      <c r="T19" s="16">
        <v>3.38</v>
      </c>
      <c r="U19" s="8">
        <f>IF(S19="",0,S19)*T19</f>
        <v>0</v>
      </c>
    </row>
    <row r="20" spans="1:21" x14ac:dyDescent="0.25">
      <c r="A20" s="9" t="s">
        <v>51</v>
      </c>
      <c r="B20" s="10"/>
      <c r="C20" s="11" t="s">
        <v>30</v>
      </c>
      <c r="D20" s="12">
        <v>12</v>
      </c>
      <c r="E20" s="12">
        <v>249</v>
      </c>
      <c r="F20" s="12">
        <v>155</v>
      </c>
      <c r="G20" s="12">
        <v>213</v>
      </c>
      <c r="H20" s="12">
        <v>287</v>
      </c>
      <c r="I20" s="12">
        <v>1406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0</v>
      </c>
      <c r="E21" s="6">
        <v>840</v>
      </c>
      <c r="F21" s="6">
        <v>0</v>
      </c>
      <c r="G21" s="6">
        <v>0</v>
      </c>
      <c r="H21" s="6">
        <v>2880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46</v>
      </c>
      <c r="Q21" s="7">
        <v>12</v>
      </c>
      <c r="R21" s="7">
        <v>276</v>
      </c>
      <c r="S21" s="13">
        <v>0</v>
      </c>
      <c r="T21" s="16">
        <v>3.29</v>
      </c>
      <c r="U21" s="8">
        <f>IF(S21="",0,S21)*T21</f>
        <v>0</v>
      </c>
    </row>
    <row r="22" spans="1:21" x14ac:dyDescent="0.25">
      <c r="A22" s="9" t="s">
        <v>54</v>
      </c>
      <c r="B22" s="10"/>
      <c r="C22" s="11" t="s">
        <v>30</v>
      </c>
      <c r="D22" s="12">
        <v>0</v>
      </c>
      <c r="E22" s="12">
        <v>224</v>
      </c>
      <c r="F22" s="12">
        <v>614</v>
      </c>
      <c r="G22" s="12">
        <v>0</v>
      </c>
      <c r="H22" s="12">
        <v>727</v>
      </c>
      <c r="I22" s="12">
        <v>428</v>
      </c>
      <c r="J22" s="12">
        <v>1392</v>
      </c>
      <c r="K22" s="12">
        <v>289</v>
      </c>
      <c r="L22" s="12">
        <v>0</v>
      </c>
      <c r="M22" s="12">
        <v>0</v>
      </c>
      <c r="N22" s="12">
        <v>0</v>
      </c>
      <c r="O22" s="12">
        <v>0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36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>
        <v>0</v>
      </c>
      <c r="Q23" s="7">
        <v>6</v>
      </c>
      <c r="R23" s="7">
        <v>0</v>
      </c>
      <c r="S23" s="13">
        <v>0</v>
      </c>
      <c r="T23" s="16">
        <v>4.1399999999999997</v>
      </c>
      <c r="U23" s="8">
        <f>IF(S23="",0,S23)*T23</f>
        <v>0</v>
      </c>
    </row>
    <row r="24" spans="1:21" x14ac:dyDescent="0.25">
      <c r="A24" s="9" t="s">
        <v>57</v>
      </c>
      <c r="B24" s="10"/>
      <c r="C24" s="11" t="s">
        <v>30</v>
      </c>
      <c r="D24" s="12">
        <v>0</v>
      </c>
      <c r="E24" s="12">
        <v>5</v>
      </c>
      <c r="F24" s="12">
        <v>10</v>
      </c>
      <c r="G24" s="12">
        <v>21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0</v>
      </c>
      <c r="E25" s="6">
        <v>20</v>
      </c>
      <c r="F25" s="6">
        <v>20</v>
      </c>
      <c r="G25" s="6">
        <v>20</v>
      </c>
      <c r="H25" s="6">
        <v>20</v>
      </c>
      <c r="I25" s="6">
        <v>20</v>
      </c>
      <c r="J25" s="6">
        <v>0</v>
      </c>
      <c r="K25" s="6">
        <v>20</v>
      </c>
      <c r="L25" s="6">
        <v>0</v>
      </c>
      <c r="M25" s="6">
        <v>40</v>
      </c>
      <c r="N25" s="6">
        <v>0</v>
      </c>
      <c r="O25" s="6">
        <v>20</v>
      </c>
      <c r="P25" s="7">
        <v>9</v>
      </c>
      <c r="Q25" s="7">
        <v>20</v>
      </c>
      <c r="R25" s="7">
        <v>0</v>
      </c>
      <c r="S25" s="13">
        <v>0</v>
      </c>
      <c r="T25" s="16">
        <v>9.59</v>
      </c>
      <c r="U25" s="8">
        <f>IF(S25="",0,S25)*T25</f>
        <v>0</v>
      </c>
    </row>
    <row r="26" spans="1:21" x14ac:dyDescent="0.25">
      <c r="A26" s="9" t="s">
        <v>60</v>
      </c>
      <c r="B26" s="10"/>
      <c r="C26" s="11" t="s">
        <v>30</v>
      </c>
      <c r="D26" s="12">
        <v>0</v>
      </c>
      <c r="E26" s="12">
        <v>18</v>
      </c>
      <c r="F26" s="12">
        <v>17</v>
      </c>
      <c r="G26" s="12">
        <v>19</v>
      </c>
      <c r="H26" s="12">
        <v>20</v>
      </c>
      <c r="I26" s="12">
        <v>7</v>
      </c>
      <c r="J26" s="12">
        <v>18</v>
      </c>
      <c r="K26" s="12">
        <v>0</v>
      </c>
      <c r="L26" s="12">
        <v>20</v>
      </c>
      <c r="M26" s="12">
        <v>23</v>
      </c>
      <c r="N26" s="12">
        <v>17</v>
      </c>
      <c r="O26" s="12">
        <v>12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0</v>
      </c>
      <c r="E27" s="6">
        <v>1260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1260</v>
      </c>
      <c r="L27" s="6">
        <v>0</v>
      </c>
      <c r="M27" s="6">
        <v>0</v>
      </c>
      <c r="N27" s="6">
        <v>0</v>
      </c>
      <c r="O27" s="6">
        <v>0</v>
      </c>
      <c r="P27" s="7">
        <v>0</v>
      </c>
      <c r="Q27" s="7">
        <v>20</v>
      </c>
      <c r="R27" s="7">
        <v>180</v>
      </c>
      <c r="S27" s="13">
        <v>0</v>
      </c>
      <c r="T27" s="16">
        <v>5.95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80</v>
      </c>
      <c r="E28" s="12">
        <v>317</v>
      </c>
      <c r="F28" s="12">
        <v>346</v>
      </c>
      <c r="G28" s="12">
        <v>560</v>
      </c>
      <c r="H28" s="12">
        <v>178</v>
      </c>
      <c r="I28" s="12">
        <v>2</v>
      </c>
      <c r="J28" s="12">
        <v>2</v>
      </c>
      <c r="K28" s="12">
        <v>468</v>
      </c>
      <c r="L28" s="12">
        <v>474</v>
      </c>
      <c r="M28" s="12">
        <v>199</v>
      </c>
      <c r="N28" s="12">
        <v>0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1260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213</v>
      </c>
      <c r="Q29" s="7">
        <v>20</v>
      </c>
      <c r="R29" s="7">
        <v>80</v>
      </c>
      <c r="S29" s="13">
        <v>0</v>
      </c>
      <c r="T29" s="16">
        <v>5.89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523</v>
      </c>
      <c r="J30" s="12">
        <v>524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0"/>
      <c r="Q30" s="10"/>
      <c r="R30" s="10"/>
      <c r="S30" s="14"/>
      <c r="T30" s="14"/>
    </row>
  </sheetData>
  <mergeCells count="41">
    <mergeCell ref="S29:S30"/>
    <mergeCell ref="Q3:Q4"/>
    <mergeCell ref="S25:S26"/>
    <mergeCell ref="S3:S4"/>
    <mergeCell ref="S21:S22"/>
    <mergeCell ref="T23:T24"/>
    <mergeCell ref="T19:T20"/>
    <mergeCell ref="N2:T2"/>
    <mergeCell ref="T15:T16"/>
    <mergeCell ref="T27:T28"/>
    <mergeCell ref="T5:T6"/>
    <mergeCell ref="F2:H2"/>
    <mergeCell ref="J2:M2"/>
    <mergeCell ref="G3:O3"/>
    <mergeCell ref="S7:S8"/>
    <mergeCell ref="A1:T1"/>
    <mergeCell ref="A3:A4"/>
    <mergeCell ref="D3:F3"/>
    <mergeCell ref="S5:S6"/>
    <mergeCell ref="A2:E2"/>
    <mergeCell ref="P3:P4"/>
    <mergeCell ref="R3:R4"/>
    <mergeCell ref="T7:T8"/>
    <mergeCell ref="T3:T4"/>
    <mergeCell ref="C3:C4"/>
    <mergeCell ref="S11:S12"/>
    <mergeCell ref="B3:B4"/>
    <mergeCell ref="T29:T30"/>
    <mergeCell ref="S17:S18"/>
    <mergeCell ref="S27:S28"/>
    <mergeCell ref="T9:T10"/>
    <mergeCell ref="S23:S24"/>
    <mergeCell ref="S19:S20"/>
    <mergeCell ref="T25:T26"/>
    <mergeCell ref="S13:S14"/>
    <mergeCell ref="S9:S10"/>
    <mergeCell ref="T21:T22"/>
    <mergeCell ref="T17:T18"/>
    <mergeCell ref="S15:S16"/>
    <mergeCell ref="T11:T12"/>
    <mergeCell ref="T13:T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2026-09-28T17:43:17Z</dcterms:created>
  <dcterms:modified xsi:type="dcterms:W3CDTF">2026-09-28T17:43:36Z</dcterms:modified>
</cp:coreProperties>
</file>