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tecao\Desktop\PYTHON\COTAÇAONOVA\compras_app\excel_trabalho\"/>
    </mc:Choice>
  </mc:AlternateContent>
  <xr:revisionPtr revIDLastSave="0" documentId="13_ncr:1_{E1CD600F-24DD-4C8C-9872-C8C15328774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tação" sheetId="1" r:id="rId1"/>
  </sheets>
  <calcPr calcId="181029"/>
</workbook>
</file>

<file path=xl/calcChain.xml><?xml version="1.0" encoding="utf-8"?>
<calcChain xmlns="http://schemas.openxmlformats.org/spreadsheetml/2006/main">
  <c r="U137" i="1" l="1"/>
  <c r="U135" i="1"/>
  <c r="U133" i="1"/>
  <c r="U131" i="1"/>
  <c r="U129" i="1"/>
  <c r="U127" i="1"/>
  <c r="U125" i="1"/>
  <c r="U123" i="1"/>
  <c r="U121" i="1"/>
  <c r="U119" i="1"/>
  <c r="U117" i="1"/>
  <c r="U115" i="1"/>
  <c r="U113" i="1"/>
  <c r="U111" i="1"/>
  <c r="U109" i="1"/>
  <c r="U107" i="1"/>
  <c r="U105" i="1"/>
  <c r="U103" i="1"/>
  <c r="U101" i="1"/>
  <c r="U99" i="1"/>
  <c r="U97" i="1"/>
  <c r="U95" i="1"/>
  <c r="U93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N2" i="1" s="1"/>
  <c r="U7" i="1"/>
  <c r="U5" i="1"/>
</calcChain>
</file>

<file path=xl/sharedStrings.xml><?xml version="1.0" encoding="utf-8"?>
<sst xmlns="http://schemas.openxmlformats.org/spreadsheetml/2006/main" count="361" uniqueCount="229">
  <si>
    <t>COTAÇÃO — COMERCIAL DE ALIMENTOS MJZ</t>
  </si>
  <si>
    <t>Mês: SET/2026</t>
  </si>
  <si>
    <t>Total de produtos:</t>
  </si>
  <si>
    <t>Valor total estimado:</t>
  </si>
  <si>
    <t>COD</t>
  </si>
  <si>
    <t>PRODUTO</t>
  </si>
  <si>
    <t>E/S</t>
  </si>
  <si>
    <t>2025</t>
  </si>
  <si>
    <t>2026</t>
  </si>
  <si>
    <t>ESTOQ</t>
  </si>
  <si>
    <t>CX</t>
  </si>
  <si>
    <t>SUG</t>
  </si>
  <si>
    <t>QTD</t>
  </si>
  <si>
    <t>VL UNIT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</si>
  <si>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</si>
  <si>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</si>
  <si>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</si>
  <si>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</si>
  <si>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</si>
  <si>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</si>
  <si>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</si>
  <si>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</si>
  <si>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</si>
  <si>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</si>
  <si>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</si>
  <si>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</si>
  <si>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34976</t>
  </si>
  <si>
    <t>ALBUM  FIGURINHAS PANINI FIFA COPA 2026</t>
  </si>
  <si>
    <t>E</t>
  </si>
  <si>
    <t>9786555165753</t>
  </si>
  <si>
    <t>S</t>
  </si>
  <si>
    <t>13456</t>
  </si>
  <si>
    <t>ASSADEIRA MARINEX RET 5L C/TAMPA</t>
  </si>
  <si>
    <t>7894993171907</t>
  </si>
  <si>
    <t>26398</t>
  </si>
  <si>
    <t>CAIXA TERMICA TERMOLAR 20L AZUL</t>
  </si>
  <si>
    <t>7891023568041</t>
  </si>
  <si>
    <t>5984</t>
  </si>
  <si>
    <t>CERA AUTO POLITRIZ 200GR TRAD LTA</t>
  </si>
  <si>
    <t>7896440500056</t>
  </si>
  <si>
    <t>29996</t>
  </si>
  <si>
    <t>CHURRASQUEIRA ELETRICA CADENCE 220V</t>
  </si>
  <si>
    <t>7898615982315</t>
  </si>
  <si>
    <t>3480</t>
  </si>
  <si>
    <t>COLA BOND THREE 2GR SM</t>
  </si>
  <si>
    <t>7896020470427</t>
  </si>
  <si>
    <t>3478</t>
  </si>
  <si>
    <t>COLA SUPER BONDER 5G</t>
  </si>
  <si>
    <t>7891200234257</t>
  </si>
  <si>
    <t>22026</t>
  </si>
  <si>
    <t>COLA THREE BONDSUPER GEL 3G</t>
  </si>
  <si>
    <t>7896020470472</t>
  </si>
  <si>
    <t>6318</t>
  </si>
  <si>
    <t>COLHER DESC STRAWPLAST 50UN CRISTAL FEST</t>
  </si>
  <si>
    <t>7898202616210</t>
  </si>
  <si>
    <t>10054</t>
  </si>
  <si>
    <t>CONJ COPO NADIR 1X6  GINGA 265ML</t>
  </si>
  <si>
    <t>7891155025115</t>
  </si>
  <si>
    <t>10053</t>
  </si>
  <si>
    <t>CONJ COPO NADIR 1X6 LAGUNA 265ML</t>
  </si>
  <si>
    <t>7891155033677</t>
  </si>
  <si>
    <t>25882</t>
  </si>
  <si>
    <t>CONJ COPO NADIR 6X1 ZUMBA</t>
  </si>
  <si>
    <t>7891155065814</t>
  </si>
  <si>
    <t>6145</t>
  </si>
  <si>
    <t>COPO AMERICANO SIMPLES</t>
  </si>
  <si>
    <t>13352</t>
  </si>
  <si>
    <t>21051</t>
  </si>
  <si>
    <t>COPO DESC COPOBRAS 50ML 100UNID BCO</t>
  </si>
  <si>
    <t>7896030800528</t>
  </si>
  <si>
    <t>9157</t>
  </si>
  <si>
    <t>COPO DESC CRISTAL 200ML AGUA PS TRAN</t>
  </si>
  <si>
    <t>7898939720082</t>
  </si>
  <si>
    <t>26481</t>
  </si>
  <si>
    <t>COPO DESC CRISTALCOPO 200ML BRANCO</t>
  </si>
  <si>
    <t>7898939720075</t>
  </si>
  <si>
    <t>3261</t>
  </si>
  <si>
    <t>COPO DESC TERMOPOT 80ML 100UN PS TRANS</t>
  </si>
  <si>
    <t>7898901478423</t>
  </si>
  <si>
    <t>3260</t>
  </si>
  <si>
    <t>COPO DESC TERMOPOT BR 200ML/100UN</t>
  </si>
  <si>
    <t>7898901478034</t>
  </si>
  <si>
    <t>8188</t>
  </si>
  <si>
    <t>ESCOVA P/LAVAR CONDOR CABO MADEIRA REF 1</t>
  </si>
  <si>
    <t>7891055111604</t>
  </si>
  <si>
    <t>10029</t>
  </si>
  <si>
    <t>ESCOVA P/LAVAR CONDOR DE MAO REF 1121</t>
  </si>
  <si>
    <t>7891055112106</t>
  </si>
  <si>
    <t>34975</t>
  </si>
  <si>
    <t>FIGURINHAS FIFA WORLD CUP 2026</t>
  </si>
  <si>
    <t>7897653549146</t>
  </si>
  <si>
    <t>5261</t>
  </si>
  <si>
    <t>FILME PVC BOREDA 30 METROS LARG 28 CM</t>
  </si>
  <si>
    <t>7897384700397</t>
  </si>
  <si>
    <t>2576</t>
  </si>
  <si>
    <t>FILTRO DE PAPEL MELITTA 102</t>
  </si>
  <si>
    <t>7891021001885</t>
  </si>
  <si>
    <t>2575</t>
  </si>
  <si>
    <t>FILTRO DE PAPEL MELITTA 103</t>
  </si>
  <si>
    <t>7891021001946</t>
  </si>
  <si>
    <t>3390</t>
  </si>
  <si>
    <t>FOSFORO FIAT LUX CASAFIAT LUX</t>
  </si>
  <si>
    <t>7896007942213</t>
  </si>
  <si>
    <t>3391</t>
  </si>
  <si>
    <t>FOSFORO GUARANY PACOTINHO</t>
  </si>
  <si>
    <t>7898905100023</t>
  </si>
  <si>
    <t>22670</t>
  </si>
  <si>
    <t>FOSFORO PARANA 200UN LONGOS</t>
  </si>
  <si>
    <t>7896080920054</t>
  </si>
  <si>
    <t>21929</t>
  </si>
  <si>
    <t>GARFO STRAWPLAST DESC LEVE BCO 50UN</t>
  </si>
  <si>
    <t>7898202615022</t>
  </si>
  <si>
    <t>22200</t>
  </si>
  <si>
    <t>GARRAFA TERM TERMOLAR 1L PERSONAL AZU</t>
  </si>
  <si>
    <t>7891023547794</t>
  </si>
  <si>
    <t>26428</t>
  </si>
  <si>
    <t>GUARDANAPO COQUETEL 21,5X23CM 50UN</t>
  </si>
  <si>
    <t>7896301800028</t>
  </si>
  <si>
    <t>25216</t>
  </si>
  <si>
    <t>LAMPADA LED KIAN BRANCA CLASSIC 9W</t>
  </si>
  <si>
    <t>7899710006531</t>
  </si>
  <si>
    <t>30608</t>
  </si>
  <si>
    <t>LAMPADA LED OUROLUX SUPERLED 4,7W</t>
  </si>
  <si>
    <t>7898324005138</t>
  </si>
  <si>
    <t>17259</t>
  </si>
  <si>
    <t>LAMPADA LED OUROLUX SUPERLED 9W</t>
  </si>
  <si>
    <t>7898324005176</t>
  </si>
  <si>
    <t>1136</t>
  </si>
  <si>
    <t>LAVA AUTO POLITRIZ 500ML</t>
  </si>
  <si>
    <t>7896440500865</t>
  </si>
  <si>
    <t>9701</t>
  </si>
  <si>
    <t>LIMPA PNEUS POLITRIZ 500ML</t>
  </si>
  <si>
    <t>7896440500872</t>
  </si>
  <si>
    <t>3342</t>
  </si>
  <si>
    <t>PA DE LIXO CONDOR REF 1506/1507</t>
  </si>
  <si>
    <t>7891055150726</t>
  </si>
  <si>
    <t>3252</t>
  </si>
  <si>
    <t>PALITOS GINA 200 UN</t>
  </si>
  <si>
    <t>7896051020158</t>
  </si>
  <si>
    <t>5745</t>
  </si>
  <si>
    <t>PALITOS GINA C/100 UNID</t>
  </si>
  <si>
    <t>7896051020127</t>
  </si>
  <si>
    <t>3283</t>
  </si>
  <si>
    <t>PANELA DE PRESSAO PANELUX 4,5L</t>
  </si>
  <si>
    <t>7898147771029</t>
  </si>
  <si>
    <t>34637</t>
  </si>
  <si>
    <t>PAPEL TOALHA COQUETEL C/2UN</t>
  </si>
  <si>
    <t>7896061997600</t>
  </si>
  <si>
    <t>5255</t>
  </si>
  <si>
    <t>PAPEL TOALHA SNOB BRANCA C/2UN</t>
  </si>
  <si>
    <t>7896110012148</t>
  </si>
  <si>
    <t>5256</t>
  </si>
  <si>
    <t>PAPEL TOALHA SOCIAL CLEAN C/2UN</t>
  </si>
  <si>
    <t>7896914000716</t>
  </si>
  <si>
    <t>22316</t>
  </si>
  <si>
    <t>PILHA ALCALINA AAA4 EVEREADY GOLD 4UN</t>
  </si>
  <si>
    <t>8888021201475</t>
  </si>
  <si>
    <t>22315</t>
  </si>
  <si>
    <t>PILHA EVEREADY GOLD ALC AAA 2UN</t>
  </si>
  <si>
    <t>8888021201468</t>
  </si>
  <si>
    <t>11253</t>
  </si>
  <si>
    <t>PRATO DESC COPOBRAS 17 5 10UN PS BR</t>
  </si>
  <si>
    <t>7896030800184</t>
  </si>
  <si>
    <t>8130</t>
  </si>
  <si>
    <t>PRATO DESC TERMOPOT 15CM 10UN</t>
  </si>
  <si>
    <t>7898901478225</t>
  </si>
  <si>
    <t>6273</t>
  </si>
  <si>
    <t>PRATO DESC TERMOPOT 21CM 10UN</t>
  </si>
  <si>
    <t>7898901478232</t>
  </si>
  <si>
    <t>23952</t>
  </si>
  <si>
    <t>PRATO DURALEX 22,4CM PRIMAVERA NADIR</t>
  </si>
  <si>
    <t>7891155043867</t>
  </si>
  <si>
    <t>3296</t>
  </si>
  <si>
    <t>PRATO DURALEX ASTRAL FUNDO TP 222MM 31,5</t>
  </si>
  <si>
    <t>7894993000832</t>
  </si>
  <si>
    <t>25886</t>
  </si>
  <si>
    <t>PRATO FUNDO 235MM JASMIM OPALINE</t>
  </si>
  <si>
    <t>7891155070184</t>
  </si>
  <si>
    <t>14136</t>
  </si>
  <si>
    <t>PRATO NADIR PETALA RASO UN 25,5CM</t>
  </si>
  <si>
    <t>7891155037873</t>
  </si>
  <si>
    <t>3638</t>
  </si>
  <si>
    <t>PRENDEDOR DE ROUPA GINA MADEIRA GD</t>
  </si>
  <si>
    <t>7896051099918</t>
  </si>
  <si>
    <t>21405</t>
  </si>
  <si>
    <t>RATOEIRA ADESIVA KELLMAT</t>
  </si>
  <si>
    <t>7898374662794</t>
  </si>
  <si>
    <t>6733</t>
  </si>
  <si>
    <t>REGULADOR P/GAS VINIGAS COMP C\MANG</t>
  </si>
  <si>
    <t>7898100081639</t>
  </si>
  <si>
    <t>19666</t>
  </si>
  <si>
    <t>SACO P/LIXO BOMLIXO BANHEIRO 40UN</t>
  </si>
  <si>
    <t>7898903480134</t>
  </si>
  <si>
    <t>10101</t>
  </si>
  <si>
    <t>SACO P/LIXO LEV FORT 100L 5UN PRETO</t>
  </si>
  <si>
    <t>7898903480127</t>
  </si>
  <si>
    <t>32611</t>
  </si>
  <si>
    <t>SACO P/LIXO LEV FORT 15L 20UN PRETO</t>
  </si>
  <si>
    <t>7898903480097</t>
  </si>
  <si>
    <t>3401</t>
  </si>
  <si>
    <t>SACO P/LIXO LIXOPLAS 50LTS 10S PR</t>
  </si>
  <si>
    <t>7908539700763</t>
  </si>
  <si>
    <t>21180</t>
  </si>
  <si>
    <t>SILICONE GEL POLITRIZ 230G</t>
  </si>
  <si>
    <t>7898575691999</t>
  </si>
  <si>
    <t>21931</t>
  </si>
  <si>
    <t>TACA J701 BUFFET VINHO 260ML</t>
  </si>
  <si>
    <t>7891155059738</t>
  </si>
  <si>
    <t>26117</t>
  </si>
  <si>
    <t>TACA NADIR 320ML ROYAL P/ VINHO</t>
  </si>
  <si>
    <t>7891155061113</t>
  </si>
  <si>
    <t>31669</t>
  </si>
  <si>
    <t>TACA NADIR 385ML BARONE P/ VINHO</t>
  </si>
  <si>
    <t>7891155040958</t>
  </si>
  <si>
    <t>35142</t>
  </si>
  <si>
    <t>TACA NADIR 490ML BUBBLE RAVENA</t>
  </si>
  <si>
    <t>7891155676911</t>
  </si>
  <si>
    <t>8948</t>
  </si>
  <si>
    <t>TACA NADIR 7008 250ML GALLANT VINHO TTO</t>
  </si>
  <si>
    <t>7891155000372</t>
  </si>
  <si>
    <t>21932</t>
  </si>
  <si>
    <t>TACA SM BUFFET CHAMPANHE UN</t>
  </si>
  <si>
    <t>7891155059608</t>
  </si>
  <si>
    <t>14139</t>
  </si>
  <si>
    <t>TIGELA VIDRO AMERICANO NADIR C/TP 150ML</t>
  </si>
  <si>
    <t>7891155047001</t>
  </si>
  <si>
    <t>30533</t>
  </si>
  <si>
    <t>XICARA DE CHA NADIR DIAMANTE 233ML</t>
  </si>
  <si>
    <t>7891155036289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</si>
</sst>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333333"/>
      <name val="Calibri"/>
    </font>
    <font>
      <b/>
      <sz val="10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sz val="9"/>
      <name val="Consolas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7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" fontId="0" fillId="4" borderId="1" xfId="0" applyNumberFormat="1" applyFill="1" applyBorder="1"/>
    <xf numFmtId="164" fontId="0" fillId="0" borderId="0" xfId="0" applyNumberFormat="1"/>
    <xf numFmtId="0" fontId="6" fillId="5" borderId="2" xfId="0" applyFont="1" applyFill="1" applyBorder="1"/>
    <xf numFmtId="0" fontId="0" fillId="5" borderId="2" xfId="0" applyFill="1" applyBorder="1"/>
    <xf numFmtId="0" fontId="3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0" fillId="0" borderId="2" xfId="0" applyBorder="1"/>
    <xf numFmtId="164" fontId="7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/>
    <xf numFmtId="164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8"/>
  <sheetViews>
    <sheetView tabSelected="1" workbookViewId="0">
      <pane xSplit="3" ySplit="4" topLeftCell="G5" activePane="bottomRight" state="frozen"/>
      <selection pane="topRight"/>
      <selection pane="bottomLeft"/>
      <selection pane="bottomRight" activeCell="S23" sqref="S23:S24"/>
    </sheetView>
  </sheetViews>
  <sheetFormatPr defaultRowHeight="15" x14ac:dyDescent="0.25"/>
  <cols>
    <col min="1" max="1" width="12" customWidth="1"/>
    <col min="2" max="2" width="43" customWidth="1"/>
    <col min="3" max="3" width="5" customWidth="1"/>
    <col min="4" max="15" width="8" customWidth="1"/>
    <col min="16" max="16" width="10" customWidth="1"/>
    <col min="17" max="17" width="6" customWidth="1"/>
    <col min="18" max="18" width="10" customWidth="1"/>
    <col min="19" max="20" width="12" customWidth="1"/>
    <col min="21" max="21" width="12" hidden="1" customWidth="1"/>
  </cols>
  <sheetData>
    <row r="1" spans="1:21" ht="27.95" customHeight="1" x14ac:dyDescent="0.25">
      <c r="A1" s="20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1" ht="21.95" customHeight="1" x14ac:dyDescent="0.25">
      <c r="A2" s="21" t="s">
        <v>1</v>
      </c>
      <c r="B2" s="17"/>
      <c r="C2" s="17"/>
      <c r="D2" s="17"/>
      <c r="E2" s="17"/>
      <c r="F2" s="16" t="s">
        <v>2</v>
      </c>
      <c r="G2" s="17"/>
      <c r="H2" s="17"/>
      <c r="I2" s="1">
        <v>67</v>
      </c>
      <c r="J2" s="16" t="s">
        <v>3</v>
      </c>
      <c r="K2" s="17"/>
      <c r="L2" s="17"/>
      <c r="M2" s="17"/>
      <c r="N2" s="18">
        <f>IFERROR(SUMPRODUCT(U3:U100000),0)</f>
        <v>1696.1000000000001</v>
      </c>
      <c r="O2" s="17"/>
      <c r="P2" s="17"/>
      <c r="Q2" s="17"/>
      <c r="R2" s="17"/>
      <c r="S2" s="17"/>
      <c r="T2" s="17"/>
    </row>
    <row r="3" spans="1:21" ht="18" customHeight="1" x14ac:dyDescent="0.25">
      <c r="A3" s="19" t="s">
        <v>4</v>
      </c>
      <c r="B3" s="19" t="s">
        <v>5</v>
      </c>
      <c r="C3" s="19" t="s">
        <v>6</v>
      </c>
      <c r="D3" s="19" t="s">
        <v>7</v>
      </c>
      <c r="E3" s="19"/>
      <c r="F3" s="19"/>
      <c r="G3" s="19" t="s">
        <v>8</v>
      </c>
      <c r="H3" s="19"/>
      <c r="I3" s="19"/>
      <c r="J3" s="19"/>
      <c r="K3" s="19"/>
      <c r="L3" s="19"/>
      <c r="M3" s="19"/>
      <c r="N3" s="19"/>
      <c r="O3" s="19"/>
      <c r="P3" s="19" t="s">
        <v>9</v>
      </c>
      <c r="Q3" s="19" t="s">
        <v>10</v>
      </c>
      <c r="R3" s="19" t="s">
        <v>11</v>
      </c>
      <c r="S3" s="19" t="s">
        <v>12</v>
      </c>
      <c r="T3" s="19" t="s">
        <v>13</v>
      </c>
    </row>
    <row r="4" spans="1:21" ht="20.100000000000001" customHeight="1" x14ac:dyDescent="0.25">
      <c r="A4" s="19"/>
      <c r="B4" s="19"/>
      <c r="C4" s="19"/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2" t="s">
        <v>25</v>
      </c>
      <c r="P4" s="19"/>
      <c r="Q4" s="19"/>
      <c r="R4" s="19"/>
      <c r="S4" s="19"/>
      <c r="T4" s="19"/>
    </row>
    <row r="5" spans="1:21" x14ac:dyDescent="0.25">
      <c r="A5" s="3" t="s">
        <v>26</v>
      </c>
      <c r="B5" s="4" t="s">
        <v>27</v>
      </c>
      <c r="C5" s="5" t="s">
        <v>28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20</v>
      </c>
      <c r="L5" s="6">
        <v>0</v>
      </c>
      <c r="M5" s="6">
        <v>0</v>
      </c>
      <c r="N5" s="6">
        <v>0</v>
      </c>
      <c r="O5" s="6">
        <v>0</v>
      </c>
      <c r="P5" s="7">
        <v>0</v>
      </c>
      <c r="Q5" s="7">
        <v>1</v>
      </c>
      <c r="R5" s="7">
        <v>3</v>
      </c>
      <c r="S5" s="13">
        <v>0</v>
      </c>
      <c r="T5" s="15">
        <v>21.01</v>
      </c>
      <c r="U5" s="8">
        <f>IF(S5="",0,S5)*T5</f>
        <v>0</v>
      </c>
    </row>
    <row r="6" spans="1:21" x14ac:dyDescent="0.25">
      <c r="A6" s="9" t="s">
        <v>29</v>
      </c>
      <c r="B6" s="10"/>
      <c r="C6" s="11" t="s">
        <v>30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8</v>
      </c>
      <c r="L6" s="12">
        <v>12</v>
      </c>
      <c r="M6" s="12">
        <v>0</v>
      </c>
      <c r="N6" s="12">
        <v>0</v>
      </c>
      <c r="O6" s="12">
        <v>0</v>
      </c>
      <c r="P6" s="10"/>
      <c r="Q6" s="10"/>
      <c r="R6" s="10"/>
      <c r="S6" s="14"/>
      <c r="T6" s="14"/>
    </row>
    <row r="7" spans="1:21" x14ac:dyDescent="0.25">
      <c r="A7" s="3" t="s">
        <v>31</v>
      </c>
      <c r="B7" s="4" t="s">
        <v>32</v>
      </c>
      <c r="C7" s="5" t="s">
        <v>28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20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7">
        <v>0</v>
      </c>
      <c r="Q7" s="7">
        <v>1</v>
      </c>
      <c r="R7" s="7">
        <v>2</v>
      </c>
      <c r="S7" s="13">
        <v>12</v>
      </c>
      <c r="T7" s="15">
        <v>36.99</v>
      </c>
      <c r="U7" s="8">
        <f>IF(S7="",0,S7)*T7</f>
        <v>443.88</v>
      </c>
    </row>
    <row r="8" spans="1:21" x14ac:dyDescent="0.25">
      <c r="A8" s="9" t="s">
        <v>33</v>
      </c>
      <c r="B8" s="10"/>
      <c r="C8" s="11" t="s">
        <v>30</v>
      </c>
      <c r="D8" s="12">
        <v>1</v>
      </c>
      <c r="E8" s="12">
        <v>3</v>
      </c>
      <c r="F8" s="12">
        <v>34</v>
      </c>
      <c r="G8" s="12">
        <v>1</v>
      </c>
      <c r="H8" s="12">
        <v>0</v>
      </c>
      <c r="I8" s="12">
        <v>0</v>
      </c>
      <c r="J8" s="12">
        <v>1</v>
      </c>
      <c r="K8" s="12">
        <v>6</v>
      </c>
      <c r="L8" s="12">
        <v>1</v>
      </c>
      <c r="M8" s="12">
        <v>2</v>
      </c>
      <c r="N8" s="12">
        <v>2</v>
      </c>
      <c r="O8" s="12">
        <v>0</v>
      </c>
      <c r="P8" s="10"/>
      <c r="Q8" s="10"/>
      <c r="R8" s="10"/>
      <c r="S8" s="14"/>
      <c r="T8" s="14"/>
    </row>
    <row r="9" spans="1:21" x14ac:dyDescent="0.25">
      <c r="A9" s="3" t="s">
        <v>34</v>
      </c>
      <c r="B9" s="4" t="s">
        <v>35</v>
      </c>
      <c r="C9" s="5" t="s">
        <v>28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3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7">
        <v>0</v>
      </c>
      <c r="Q9" s="7">
        <v>1</v>
      </c>
      <c r="R9" s="7">
        <v>0</v>
      </c>
      <c r="S9" s="13">
        <v>6</v>
      </c>
      <c r="T9" s="15">
        <v>65.39</v>
      </c>
      <c r="U9" s="8">
        <f>IF(S9="",0,S9)*T9</f>
        <v>392.34000000000003</v>
      </c>
    </row>
    <row r="10" spans="1:21" x14ac:dyDescent="0.25">
      <c r="A10" s="9" t="s">
        <v>36</v>
      </c>
      <c r="B10" s="10"/>
      <c r="C10" s="11" t="s">
        <v>30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1</v>
      </c>
      <c r="K10" s="12">
        <v>2</v>
      </c>
      <c r="L10" s="12">
        <v>0</v>
      </c>
      <c r="M10" s="12">
        <v>0</v>
      </c>
      <c r="N10" s="12">
        <v>0</v>
      </c>
      <c r="O10" s="12">
        <v>0</v>
      </c>
      <c r="P10" s="10"/>
      <c r="Q10" s="10"/>
      <c r="R10" s="10"/>
      <c r="S10" s="14"/>
      <c r="T10" s="14"/>
    </row>
    <row r="11" spans="1:21" x14ac:dyDescent="0.25">
      <c r="A11" s="3" t="s">
        <v>37</v>
      </c>
      <c r="B11" s="4" t="s">
        <v>38</v>
      </c>
      <c r="C11" s="5" t="s">
        <v>28</v>
      </c>
      <c r="D11" s="6">
        <v>0</v>
      </c>
      <c r="E11" s="6">
        <v>0</v>
      </c>
      <c r="F11" s="6">
        <v>6</v>
      </c>
      <c r="G11" s="6">
        <v>6</v>
      </c>
      <c r="H11" s="6">
        <v>0</v>
      </c>
      <c r="I11" s="6">
        <v>6</v>
      </c>
      <c r="J11" s="6">
        <v>6</v>
      </c>
      <c r="K11" s="6">
        <v>0</v>
      </c>
      <c r="L11" s="6">
        <v>6</v>
      </c>
      <c r="M11" s="6">
        <v>12</v>
      </c>
      <c r="N11" s="6">
        <v>6</v>
      </c>
      <c r="O11" s="6">
        <v>0</v>
      </c>
      <c r="P11" s="7">
        <v>1</v>
      </c>
      <c r="Q11" s="7">
        <v>12</v>
      </c>
      <c r="R11" s="7">
        <v>0</v>
      </c>
      <c r="S11" s="13">
        <v>12</v>
      </c>
      <c r="T11" s="15">
        <v>11.79</v>
      </c>
      <c r="U11" s="8">
        <f>IF(S11="",0,S11)*T11</f>
        <v>141.47999999999999</v>
      </c>
    </row>
    <row r="12" spans="1:21" x14ac:dyDescent="0.25">
      <c r="A12" s="9" t="s">
        <v>39</v>
      </c>
      <c r="B12" s="10"/>
      <c r="C12" s="11" t="s">
        <v>30</v>
      </c>
      <c r="D12" s="12">
        <v>5</v>
      </c>
      <c r="E12" s="12">
        <v>2</v>
      </c>
      <c r="F12" s="12">
        <v>6</v>
      </c>
      <c r="G12" s="12">
        <v>3</v>
      </c>
      <c r="H12" s="12">
        <v>2</v>
      </c>
      <c r="I12" s="12">
        <v>2</v>
      </c>
      <c r="J12" s="12">
        <v>5</v>
      </c>
      <c r="K12" s="12">
        <v>5</v>
      </c>
      <c r="L12" s="12">
        <v>1</v>
      </c>
      <c r="M12" s="12">
        <v>5</v>
      </c>
      <c r="N12" s="12">
        <v>7</v>
      </c>
      <c r="O12" s="12">
        <v>4</v>
      </c>
      <c r="P12" s="10"/>
      <c r="Q12" s="10"/>
      <c r="R12" s="10"/>
      <c r="S12" s="14"/>
      <c r="T12" s="14"/>
    </row>
    <row r="13" spans="1:21" x14ac:dyDescent="0.25">
      <c r="A13" s="3" t="s">
        <v>40</v>
      </c>
      <c r="B13" s="4" t="s">
        <v>41</v>
      </c>
      <c r="C13" s="5" t="s">
        <v>28</v>
      </c>
      <c r="D13" s="6">
        <v>0</v>
      </c>
      <c r="E13" s="6">
        <v>0</v>
      </c>
      <c r="F13" s="6">
        <v>4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7">
        <v>0</v>
      </c>
      <c r="Q13" s="7">
        <v>1</v>
      </c>
      <c r="R13" s="7">
        <v>0</v>
      </c>
      <c r="S13" s="13">
        <v>6</v>
      </c>
      <c r="T13" s="15">
        <v>110</v>
      </c>
      <c r="U13" s="8">
        <f>IF(S13="",0,S13)*T13</f>
        <v>660</v>
      </c>
    </row>
    <row r="14" spans="1:21" x14ac:dyDescent="0.25">
      <c r="A14" s="9" t="s">
        <v>42</v>
      </c>
      <c r="B14" s="10"/>
      <c r="C14" s="11" t="s">
        <v>30</v>
      </c>
      <c r="D14" s="12">
        <v>1</v>
      </c>
      <c r="E14" s="12">
        <v>0</v>
      </c>
      <c r="F14" s="12">
        <v>1</v>
      </c>
      <c r="G14" s="12">
        <v>1</v>
      </c>
      <c r="H14" s="12">
        <v>0</v>
      </c>
      <c r="I14" s="12">
        <v>0</v>
      </c>
      <c r="J14" s="12">
        <v>1</v>
      </c>
      <c r="K14" s="12">
        <v>0</v>
      </c>
      <c r="L14" s="12">
        <v>1</v>
      </c>
      <c r="M14" s="12">
        <v>0</v>
      </c>
      <c r="N14" s="12">
        <v>1</v>
      </c>
      <c r="O14" s="12">
        <v>0</v>
      </c>
      <c r="P14" s="10"/>
      <c r="Q14" s="10"/>
      <c r="R14" s="10"/>
      <c r="S14" s="14"/>
      <c r="T14" s="14"/>
    </row>
    <row r="15" spans="1:21" x14ac:dyDescent="0.25">
      <c r="A15" s="3" t="s">
        <v>43</v>
      </c>
      <c r="B15" s="4" t="s">
        <v>44</v>
      </c>
      <c r="C15" s="5" t="s">
        <v>28</v>
      </c>
      <c r="D15" s="6">
        <v>24</v>
      </c>
      <c r="E15" s="6">
        <v>48</v>
      </c>
      <c r="F15" s="6">
        <v>48</v>
      </c>
      <c r="G15" s="6">
        <v>0</v>
      </c>
      <c r="H15" s="6">
        <v>42</v>
      </c>
      <c r="I15" s="6">
        <v>0</v>
      </c>
      <c r="J15" s="6">
        <v>42</v>
      </c>
      <c r="K15" s="6">
        <v>0</v>
      </c>
      <c r="L15" s="6">
        <v>24</v>
      </c>
      <c r="M15" s="6">
        <v>42</v>
      </c>
      <c r="N15" s="6">
        <v>0</v>
      </c>
      <c r="O15" s="6">
        <v>0</v>
      </c>
      <c r="P15" s="7">
        <v>11</v>
      </c>
      <c r="Q15" s="7">
        <v>24</v>
      </c>
      <c r="R15" s="7">
        <v>0</v>
      </c>
      <c r="S15" s="13">
        <v>0</v>
      </c>
      <c r="T15" s="15">
        <v>1.1200000000000001</v>
      </c>
      <c r="U15" s="8">
        <f>IF(S15="",0,S15)*T15</f>
        <v>0</v>
      </c>
    </row>
    <row r="16" spans="1:21" x14ac:dyDescent="0.25">
      <c r="A16" s="9" t="s">
        <v>45</v>
      </c>
      <c r="B16" s="10"/>
      <c r="C16" s="11" t="s">
        <v>30</v>
      </c>
      <c r="D16" s="12">
        <v>31</v>
      </c>
      <c r="E16" s="12">
        <v>35</v>
      </c>
      <c r="F16" s="12">
        <v>28</v>
      </c>
      <c r="G16" s="12">
        <v>20</v>
      </c>
      <c r="H16" s="12">
        <v>31</v>
      </c>
      <c r="I16" s="12">
        <v>20</v>
      </c>
      <c r="J16" s="12">
        <v>8</v>
      </c>
      <c r="K16" s="12">
        <v>19</v>
      </c>
      <c r="L16" s="12">
        <v>15</v>
      </c>
      <c r="M16" s="12">
        <v>15</v>
      </c>
      <c r="N16" s="12">
        <v>17</v>
      </c>
      <c r="O16" s="12">
        <v>20</v>
      </c>
      <c r="P16" s="10"/>
      <c r="Q16" s="10"/>
      <c r="R16" s="10"/>
      <c r="S16" s="14"/>
      <c r="T16" s="14"/>
    </row>
    <row r="17" spans="1:21" x14ac:dyDescent="0.25">
      <c r="A17" s="3" t="s">
        <v>46</v>
      </c>
      <c r="B17" s="4" t="s">
        <v>47</v>
      </c>
      <c r="C17" s="5" t="s">
        <v>28</v>
      </c>
      <c r="D17" s="6">
        <v>0</v>
      </c>
      <c r="E17" s="6">
        <v>24</v>
      </c>
      <c r="F17" s="6">
        <v>0</v>
      </c>
      <c r="G17" s="6">
        <v>24</v>
      </c>
      <c r="H17" s="6">
        <v>0</v>
      </c>
      <c r="I17" s="6">
        <v>0</v>
      </c>
      <c r="J17" s="6">
        <v>24</v>
      </c>
      <c r="K17" s="6">
        <v>0</v>
      </c>
      <c r="L17" s="6">
        <v>24</v>
      </c>
      <c r="M17" s="6">
        <v>0</v>
      </c>
      <c r="N17" s="6">
        <v>24</v>
      </c>
      <c r="O17" s="6">
        <v>0</v>
      </c>
      <c r="P17" s="7">
        <v>1</v>
      </c>
      <c r="Q17" s="7">
        <v>24</v>
      </c>
      <c r="R17" s="7">
        <v>0</v>
      </c>
      <c r="S17" s="13">
        <v>0</v>
      </c>
      <c r="T17" s="15">
        <v>6.38</v>
      </c>
      <c r="U17" s="8">
        <f>IF(S17="",0,S17)*T17</f>
        <v>0</v>
      </c>
    </row>
    <row r="18" spans="1:21" x14ac:dyDescent="0.25">
      <c r="A18" s="9" t="s">
        <v>48</v>
      </c>
      <c r="B18" s="10"/>
      <c r="C18" s="11" t="s">
        <v>30</v>
      </c>
      <c r="D18" s="12">
        <v>8</v>
      </c>
      <c r="E18" s="12">
        <v>5</v>
      </c>
      <c r="F18" s="12">
        <v>10</v>
      </c>
      <c r="G18" s="12">
        <v>12</v>
      </c>
      <c r="H18" s="12">
        <v>8</v>
      </c>
      <c r="I18" s="12">
        <v>14</v>
      </c>
      <c r="J18" s="12">
        <v>9</v>
      </c>
      <c r="K18" s="12">
        <v>9</v>
      </c>
      <c r="L18" s="12">
        <v>10</v>
      </c>
      <c r="M18" s="12">
        <v>9</v>
      </c>
      <c r="N18" s="12">
        <v>10</v>
      </c>
      <c r="O18" s="12">
        <v>15</v>
      </c>
      <c r="P18" s="10"/>
      <c r="Q18" s="10"/>
      <c r="R18" s="10"/>
      <c r="S18" s="14"/>
      <c r="T18" s="14"/>
    </row>
    <row r="19" spans="1:21" x14ac:dyDescent="0.25">
      <c r="A19" s="3" t="s">
        <v>49</v>
      </c>
      <c r="B19" s="4" t="s">
        <v>50</v>
      </c>
      <c r="C19" s="5" t="s">
        <v>28</v>
      </c>
      <c r="D19" s="6">
        <v>0</v>
      </c>
      <c r="E19" s="6">
        <v>24</v>
      </c>
      <c r="F19" s="6">
        <v>24</v>
      </c>
      <c r="G19" s="6">
        <v>24</v>
      </c>
      <c r="H19" s="6">
        <v>0</v>
      </c>
      <c r="I19" s="6">
        <v>24</v>
      </c>
      <c r="J19" s="6">
        <v>0</v>
      </c>
      <c r="K19" s="6">
        <v>24</v>
      </c>
      <c r="L19" s="6">
        <v>24</v>
      </c>
      <c r="M19" s="6">
        <v>24</v>
      </c>
      <c r="N19" s="6">
        <v>0</v>
      </c>
      <c r="O19" s="6">
        <v>0</v>
      </c>
      <c r="P19" s="7">
        <v>0</v>
      </c>
      <c r="Q19" s="7">
        <v>26</v>
      </c>
      <c r="R19" s="7">
        <v>0</v>
      </c>
      <c r="S19" s="13">
        <v>0</v>
      </c>
      <c r="T19" s="15">
        <v>1.59</v>
      </c>
      <c r="U19" s="8">
        <f>IF(S19="",0,S19)*T19</f>
        <v>0</v>
      </c>
    </row>
    <row r="20" spans="1:21" x14ac:dyDescent="0.25">
      <c r="A20" s="9" t="s">
        <v>51</v>
      </c>
      <c r="B20" s="10"/>
      <c r="C20" s="11" t="s">
        <v>30</v>
      </c>
      <c r="D20" s="12">
        <v>12</v>
      </c>
      <c r="E20" s="12">
        <v>16</v>
      </c>
      <c r="F20" s="12">
        <v>21</v>
      </c>
      <c r="G20" s="12">
        <v>12</v>
      </c>
      <c r="H20" s="12">
        <v>11</v>
      </c>
      <c r="I20" s="12">
        <v>18</v>
      </c>
      <c r="J20" s="12">
        <v>38</v>
      </c>
      <c r="K20" s="12">
        <v>19</v>
      </c>
      <c r="L20" s="12">
        <v>13</v>
      </c>
      <c r="M20" s="12">
        <v>12</v>
      </c>
      <c r="N20" s="12">
        <v>7</v>
      </c>
      <c r="O20" s="12">
        <v>7</v>
      </c>
      <c r="P20" s="10"/>
      <c r="Q20" s="10"/>
      <c r="R20" s="10"/>
      <c r="S20" s="14"/>
      <c r="T20" s="14"/>
    </row>
    <row r="21" spans="1:21" x14ac:dyDescent="0.25">
      <c r="A21" s="3" t="s">
        <v>52</v>
      </c>
      <c r="B21" s="4" t="s">
        <v>53</v>
      </c>
      <c r="C21" s="5" t="s">
        <v>28</v>
      </c>
      <c r="D21" s="6">
        <v>0</v>
      </c>
      <c r="E21" s="6">
        <v>20</v>
      </c>
      <c r="F21" s="6">
        <v>0</v>
      </c>
      <c r="G21" s="6">
        <v>20</v>
      </c>
      <c r="H21" s="6">
        <v>0</v>
      </c>
      <c r="I21" s="6">
        <v>20</v>
      </c>
      <c r="J21" s="6">
        <v>0</v>
      </c>
      <c r="K21" s="6">
        <v>0</v>
      </c>
      <c r="L21" s="6">
        <v>0</v>
      </c>
      <c r="M21" s="6">
        <v>20</v>
      </c>
      <c r="N21" s="6">
        <v>0</v>
      </c>
      <c r="O21" s="6">
        <v>0</v>
      </c>
      <c r="P21" s="7">
        <v>0</v>
      </c>
      <c r="Q21" s="7">
        <v>20</v>
      </c>
      <c r="R21" s="7">
        <v>0</v>
      </c>
      <c r="S21" s="13">
        <v>20</v>
      </c>
      <c r="T21" s="15">
        <v>2.92</v>
      </c>
      <c r="U21" s="8">
        <f>IF(S21="",0,S21)*T21</f>
        <v>58.4</v>
      </c>
    </row>
    <row r="22" spans="1:21" x14ac:dyDescent="0.25">
      <c r="A22" s="9" t="s">
        <v>54</v>
      </c>
      <c r="B22" s="10"/>
      <c r="C22" s="11" t="s">
        <v>30</v>
      </c>
      <c r="D22" s="12">
        <v>11</v>
      </c>
      <c r="E22" s="12">
        <v>5</v>
      </c>
      <c r="F22" s="12">
        <v>27</v>
      </c>
      <c r="G22" s="12">
        <v>8</v>
      </c>
      <c r="H22" s="12">
        <v>11</v>
      </c>
      <c r="I22" s="12">
        <v>0</v>
      </c>
      <c r="J22" s="12">
        <v>2</v>
      </c>
      <c r="K22" s="12">
        <v>3</v>
      </c>
      <c r="L22" s="12">
        <v>6</v>
      </c>
      <c r="M22" s="12">
        <v>6</v>
      </c>
      <c r="N22" s="12">
        <v>7</v>
      </c>
      <c r="O22" s="12">
        <v>1</v>
      </c>
      <c r="P22" s="10"/>
      <c r="Q22" s="10"/>
      <c r="R22" s="10"/>
      <c r="S22" s="14"/>
      <c r="T22" s="14"/>
    </row>
    <row r="23" spans="1:21" x14ac:dyDescent="0.25">
      <c r="A23" s="3" t="s">
        <v>55</v>
      </c>
      <c r="B23" s="4" t="s">
        <v>56</v>
      </c>
      <c r="C23" s="5" t="s">
        <v>28</v>
      </c>
      <c r="D23" s="6">
        <v>0</v>
      </c>
      <c r="E23" s="6">
        <v>0</v>
      </c>
      <c r="F23" s="6">
        <v>0</v>
      </c>
      <c r="G23" s="6">
        <v>12</v>
      </c>
      <c r="H23" s="6">
        <v>0</v>
      </c>
      <c r="I23" s="6">
        <v>12</v>
      </c>
      <c r="J23" s="6">
        <v>0</v>
      </c>
      <c r="K23" s="6">
        <v>0</v>
      </c>
      <c r="L23" s="6">
        <v>12</v>
      </c>
      <c r="M23" s="6">
        <v>0</v>
      </c>
      <c r="N23" s="6">
        <v>12</v>
      </c>
      <c r="O23" s="6">
        <v>0</v>
      </c>
      <c r="P23" s="7">
        <v>13</v>
      </c>
      <c r="Q23" s="7">
        <v>6</v>
      </c>
      <c r="R23" s="7">
        <v>0</v>
      </c>
      <c r="S23" s="13">
        <v>0</v>
      </c>
      <c r="T23" s="15">
        <v>7.99</v>
      </c>
      <c r="U23" s="8">
        <f>IF(S23="",0,S23)*T23</f>
        <v>0</v>
      </c>
    </row>
    <row r="24" spans="1:21" x14ac:dyDescent="0.25">
      <c r="A24" s="9" t="s">
        <v>57</v>
      </c>
      <c r="B24" s="10"/>
      <c r="C24" s="11" t="s">
        <v>30</v>
      </c>
      <c r="D24" s="12">
        <v>0</v>
      </c>
      <c r="E24" s="12">
        <v>0</v>
      </c>
      <c r="F24" s="12">
        <v>0</v>
      </c>
      <c r="G24" s="12">
        <v>0</v>
      </c>
      <c r="H24" s="12">
        <v>12</v>
      </c>
      <c r="I24" s="12">
        <v>0</v>
      </c>
      <c r="J24" s="12">
        <v>1</v>
      </c>
      <c r="K24" s="12">
        <v>9</v>
      </c>
      <c r="L24" s="12">
        <v>3</v>
      </c>
      <c r="M24" s="12">
        <v>0</v>
      </c>
      <c r="N24" s="12">
        <v>9</v>
      </c>
      <c r="O24" s="12">
        <v>1</v>
      </c>
      <c r="P24" s="10"/>
      <c r="Q24" s="10"/>
      <c r="R24" s="10"/>
      <c r="S24" s="14"/>
      <c r="T24" s="14"/>
    </row>
    <row r="25" spans="1:21" x14ac:dyDescent="0.25">
      <c r="A25" s="3" t="s">
        <v>58</v>
      </c>
      <c r="B25" s="4" t="s">
        <v>59</v>
      </c>
      <c r="C25" s="5" t="s">
        <v>28</v>
      </c>
      <c r="D25" s="6">
        <v>0</v>
      </c>
      <c r="E25" s="6">
        <v>0</v>
      </c>
      <c r="F25" s="6">
        <v>12</v>
      </c>
      <c r="G25" s="6">
        <v>12</v>
      </c>
      <c r="H25" s="6">
        <v>0</v>
      </c>
      <c r="I25" s="6">
        <v>0</v>
      </c>
      <c r="J25" s="6">
        <v>0</v>
      </c>
      <c r="K25" s="6">
        <v>0</v>
      </c>
      <c r="L25" s="6">
        <v>12</v>
      </c>
      <c r="M25" s="6">
        <v>0</v>
      </c>
      <c r="N25" s="6">
        <v>12</v>
      </c>
      <c r="O25" s="6">
        <v>0</v>
      </c>
      <c r="P25" s="7">
        <v>0</v>
      </c>
      <c r="Q25" s="7">
        <v>6</v>
      </c>
      <c r="R25" s="7">
        <v>0</v>
      </c>
      <c r="S25" s="13">
        <v>0</v>
      </c>
      <c r="T25" s="15">
        <v>7.99</v>
      </c>
      <c r="U25" s="8">
        <f>IF(S25="",0,S25)*T25</f>
        <v>0</v>
      </c>
    </row>
    <row r="26" spans="1:21" x14ac:dyDescent="0.25">
      <c r="A26" s="9" t="s">
        <v>60</v>
      </c>
      <c r="B26" s="10"/>
      <c r="C26" s="11" t="s">
        <v>30</v>
      </c>
      <c r="D26" s="12">
        <v>0</v>
      </c>
      <c r="E26" s="12">
        <v>2</v>
      </c>
      <c r="F26" s="12">
        <v>3</v>
      </c>
      <c r="G26" s="12">
        <v>2</v>
      </c>
      <c r="H26" s="12">
        <v>7</v>
      </c>
      <c r="I26" s="12">
        <v>8</v>
      </c>
      <c r="J26" s="12">
        <v>3</v>
      </c>
      <c r="K26" s="12">
        <v>5</v>
      </c>
      <c r="L26" s="12">
        <v>2</v>
      </c>
      <c r="M26" s="12">
        <v>3</v>
      </c>
      <c r="N26" s="12">
        <v>12</v>
      </c>
      <c r="O26" s="12">
        <v>1</v>
      </c>
      <c r="P26" s="10"/>
      <c r="Q26" s="10"/>
      <c r="R26" s="10"/>
      <c r="S26" s="14"/>
      <c r="T26" s="14"/>
    </row>
    <row r="27" spans="1:21" x14ac:dyDescent="0.25">
      <c r="A27" s="3" t="s">
        <v>61</v>
      </c>
      <c r="B27" s="4" t="s">
        <v>62</v>
      </c>
      <c r="C27" s="5" t="s">
        <v>28</v>
      </c>
      <c r="D27" s="6">
        <v>0</v>
      </c>
      <c r="E27" s="6">
        <v>0</v>
      </c>
      <c r="F27" s="6">
        <v>12</v>
      </c>
      <c r="G27" s="6">
        <v>0</v>
      </c>
      <c r="H27" s="6">
        <v>0</v>
      </c>
      <c r="I27" s="6">
        <v>12</v>
      </c>
      <c r="J27" s="6">
        <v>0</v>
      </c>
      <c r="K27" s="6">
        <v>0</v>
      </c>
      <c r="L27" s="6">
        <v>12</v>
      </c>
      <c r="M27" s="6">
        <v>12</v>
      </c>
      <c r="N27" s="6">
        <v>12</v>
      </c>
      <c r="O27" s="6">
        <v>0</v>
      </c>
      <c r="P27" s="7">
        <v>0</v>
      </c>
      <c r="Q27" s="7">
        <v>6</v>
      </c>
      <c r="R27" s="7">
        <v>6</v>
      </c>
      <c r="S27" s="13">
        <v>0</v>
      </c>
      <c r="T27" s="15">
        <v>7.99</v>
      </c>
      <c r="U27" s="8">
        <f>IF(S27="",0,S27)*T27</f>
        <v>0</v>
      </c>
    </row>
    <row r="28" spans="1:21" x14ac:dyDescent="0.25">
      <c r="A28" s="9" t="s">
        <v>63</v>
      </c>
      <c r="B28" s="10"/>
      <c r="C28" s="11" t="s">
        <v>30</v>
      </c>
      <c r="D28" s="12">
        <v>1</v>
      </c>
      <c r="E28" s="12">
        <v>3</v>
      </c>
      <c r="F28" s="12">
        <v>4</v>
      </c>
      <c r="G28" s="12">
        <v>4</v>
      </c>
      <c r="H28" s="12">
        <v>3</v>
      </c>
      <c r="I28" s="12">
        <v>2</v>
      </c>
      <c r="J28" s="12">
        <v>4</v>
      </c>
      <c r="K28" s="12">
        <v>22</v>
      </c>
      <c r="L28" s="12">
        <v>7</v>
      </c>
      <c r="M28" s="12">
        <v>2</v>
      </c>
      <c r="N28" s="12">
        <v>13</v>
      </c>
      <c r="O28" s="12">
        <v>1</v>
      </c>
      <c r="P28" s="10"/>
      <c r="Q28" s="10"/>
      <c r="R28" s="10"/>
      <c r="S28" s="14"/>
      <c r="T28" s="14"/>
    </row>
    <row r="29" spans="1:21" x14ac:dyDescent="0.25">
      <c r="A29" s="3" t="s">
        <v>64</v>
      </c>
      <c r="B29" s="4" t="s">
        <v>65</v>
      </c>
      <c r="C29" s="5" t="s">
        <v>28</v>
      </c>
      <c r="D29" s="6">
        <v>0</v>
      </c>
      <c r="E29" s="6">
        <v>0</v>
      </c>
      <c r="F29" s="6">
        <v>48</v>
      </c>
      <c r="G29" s="6">
        <v>24</v>
      </c>
      <c r="H29" s="6">
        <v>0</v>
      </c>
      <c r="I29" s="6">
        <v>0</v>
      </c>
      <c r="J29" s="6">
        <v>0</v>
      </c>
      <c r="K29" s="6">
        <v>24</v>
      </c>
      <c r="L29" s="6">
        <v>0</v>
      </c>
      <c r="M29" s="6">
        <v>72</v>
      </c>
      <c r="N29" s="6">
        <v>0</v>
      </c>
      <c r="O29" s="6">
        <v>24</v>
      </c>
      <c r="P29" s="7">
        <v>10</v>
      </c>
      <c r="Q29" s="7">
        <v>24</v>
      </c>
      <c r="R29" s="7">
        <v>0</v>
      </c>
      <c r="S29" s="13">
        <v>0</v>
      </c>
      <c r="T29" s="15">
        <v>0.86</v>
      </c>
      <c r="U29" s="8">
        <f>IF(S29="",0,S29)*T29</f>
        <v>0</v>
      </c>
    </row>
    <row r="30" spans="1:21" x14ac:dyDescent="0.25">
      <c r="A30" s="9" t="s">
        <v>66</v>
      </c>
      <c r="B30" s="10"/>
      <c r="C30" s="11" t="s">
        <v>30</v>
      </c>
      <c r="D30" s="12">
        <v>9</v>
      </c>
      <c r="E30" s="12">
        <v>8</v>
      </c>
      <c r="F30" s="12">
        <v>29</v>
      </c>
      <c r="G30" s="12">
        <v>4</v>
      </c>
      <c r="H30" s="12">
        <v>5</v>
      </c>
      <c r="I30" s="12">
        <v>13</v>
      </c>
      <c r="J30" s="12">
        <v>11</v>
      </c>
      <c r="K30" s="12">
        <v>7</v>
      </c>
      <c r="L30" s="12">
        <v>23</v>
      </c>
      <c r="M30" s="12">
        <v>25</v>
      </c>
      <c r="N30" s="12">
        <v>30</v>
      </c>
      <c r="O30" s="12">
        <v>18</v>
      </c>
      <c r="P30" s="10"/>
      <c r="Q30" s="10"/>
      <c r="R30" s="10"/>
      <c r="S30" s="14"/>
      <c r="T30" s="14"/>
    </row>
    <row r="31" spans="1:21" x14ac:dyDescent="0.25">
      <c r="A31" s="3" t="s">
        <v>67</v>
      </c>
      <c r="B31" s="4" t="s">
        <v>68</v>
      </c>
      <c r="C31" s="5" t="s">
        <v>28</v>
      </c>
      <c r="D31" s="6">
        <v>0</v>
      </c>
      <c r="E31" s="6">
        <v>50</v>
      </c>
      <c r="F31" s="6">
        <v>0</v>
      </c>
      <c r="G31" s="6">
        <v>50</v>
      </c>
      <c r="H31" s="6">
        <v>0</v>
      </c>
      <c r="I31" s="6">
        <v>50</v>
      </c>
      <c r="J31" s="6">
        <v>0</v>
      </c>
      <c r="K31" s="6">
        <v>0</v>
      </c>
      <c r="L31" s="6">
        <v>50</v>
      </c>
      <c r="M31" s="6">
        <v>0</v>
      </c>
      <c r="N31" s="6">
        <v>0</v>
      </c>
      <c r="O31" s="6">
        <v>0</v>
      </c>
      <c r="P31" s="7">
        <v>21</v>
      </c>
      <c r="Q31" s="7">
        <v>20</v>
      </c>
      <c r="R31" s="7">
        <v>0</v>
      </c>
      <c r="S31" s="13">
        <v>0</v>
      </c>
      <c r="T31" s="15">
        <v>2.88</v>
      </c>
      <c r="U31" s="8">
        <f>IF(S31="",0,S31)*T31</f>
        <v>0</v>
      </c>
    </row>
    <row r="32" spans="1:21" x14ac:dyDescent="0.25">
      <c r="A32" s="9" t="s">
        <v>69</v>
      </c>
      <c r="B32" s="10"/>
      <c r="C32" s="11" t="s">
        <v>30</v>
      </c>
      <c r="D32" s="12">
        <v>15</v>
      </c>
      <c r="E32" s="12">
        <v>22</v>
      </c>
      <c r="F32" s="12">
        <v>17</v>
      </c>
      <c r="G32" s="12">
        <v>12</v>
      </c>
      <c r="H32" s="12">
        <v>1</v>
      </c>
      <c r="I32" s="12">
        <v>20</v>
      </c>
      <c r="J32" s="12">
        <v>16</v>
      </c>
      <c r="K32" s="12">
        <v>22</v>
      </c>
      <c r="L32" s="12">
        <v>10</v>
      </c>
      <c r="M32" s="12">
        <v>24</v>
      </c>
      <c r="N32" s="12">
        <v>10</v>
      </c>
      <c r="O32" s="12">
        <v>10</v>
      </c>
      <c r="P32" s="10"/>
      <c r="Q32" s="10"/>
      <c r="R32" s="10"/>
      <c r="S32" s="14"/>
      <c r="T32" s="14"/>
    </row>
    <row r="33" spans="1:21" x14ac:dyDescent="0.25">
      <c r="A33" s="3" t="s">
        <v>70</v>
      </c>
      <c r="B33" s="4" t="s">
        <v>71</v>
      </c>
      <c r="C33" s="5" t="s">
        <v>28</v>
      </c>
      <c r="D33" s="6">
        <v>50</v>
      </c>
      <c r="E33" s="6">
        <v>50</v>
      </c>
      <c r="F33" s="6">
        <v>50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100</v>
      </c>
      <c r="M33" s="6">
        <v>50</v>
      </c>
      <c r="N33" s="6">
        <v>50</v>
      </c>
      <c r="O33" s="6">
        <v>0</v>
      </c>
      <c r="P33" s="7">
        <v>37</v>
      </c>
      <c r="Q33" s="7">
        <v>25</v>
      </c>
      <c r="R33" s="7">
        <v>25</v>
      </c>
      <c r="S33" s="13">
        <v>0</v>
      </c>
      <c r="T33" s="15">
        <v>5.08</v>
      </c>
      <c r="U33" s="8">
        <f>IF(S33="",0,S33)*T33</f>
        <v>0</v>
      </c>
    </row>
    <row r="34" spans="1:21" x14ac:dyDescent="0.25">
      <c r="A34" s="9" t="s">
        <v>72</v>
      </c>
      <c r="B34" s="10"/>
      <c r="C34" s="11" t="s">
        <v>30</v>
      </c>
      <c r="D34" s="12">
        <v>29</v>
      </c>
      <c r="E34" s="12">
        <v>47</v>
      </c>
      <c r="F34" s="12">
        <v>22</v>
      </c>
      <c r="G34" s="12">
        <v>17</v>
      </c>
      <c r="H34" s="12">
        <v>0</v>
      </c>
      <c r="I34" s="12">
        <v>20</v>
      </c>
      <c r="J34" s="12">
        <v>3</v>
      </c>
      <c r="K34" s="12">
        <v>25</v>
      </c>
      <c r="L34" s="12">
        <v>48</v>
      </c>
      <c r="M34" s="12">
        <v>49</v>
      </c>
      <c r="N34" s="12">
        <v>37</v>
      </c>
      <c r="O34" s="12">
        <v>16</v>
      </c>
      <c r="P34" s="10"/>
      <c r="Q34" s="10"/>
      <c r="R34" s="10"/>
      <c r="S34" s="14"/>
      <c r="T34" s="14"/>
    </row>
    <row r="35" spans="1:21" x14ac:dyDescent="0.25">
      <c r="A35" s="3" t="s">
        <v>73</v>
      </c>
      <c r="B35" s="4" t="s">
        <v>74</v>
      </c>
      <c r="C35" s="5" t="s">
        <v>28</v>
      </c>
      <c r="D35" s="6">
        <v>0</v>
      </c>
      <c r="E35" s="6">
        <v>50</v>
      </c>
      <c r="F35" s="6">
        <v>50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50</v>
      </c>
      <c r="N35" s="6">
        <v>50</v>
      </c>
      <c r="O35" s="6">
        <v>0</v>
      </c>
      <c r="P35" s="7">
        <v>0</v>
      </c>
      <c r="Q35" s="7">
        <v>25</v>
      </c>
      <c r="R35" s="7">
        <v>0</v>
      </c>
      <c r="S35" s="13">
        <v>0</v>
      </c>
      <c r="T35" s="15">
        <v>5.5</v>
      </c>
      <c r="U35" s="8">
        <f>IF(S35="",0,S35)*T35</f>
        <v>0</v>
      </c>
    </row>
    <row r="36" spans="1:21" x14ac:dyDescent="0.25">
      <c r="A36" s="9" t="s">
        <v>75</v>
      </c>
      <c r="B36" s="10"/>
      <c r="C36" s="11" t="s">
        <v>30</v>
      </c>
      <c r="D36" s="12">
        <v>37</v>
      </c>
      <c r="E36" s="12">
        <v>20</v>
      </c>
      <c r="F36" s="12">
        <v>31</v>
      </c>
      <c r="G36" s="12">
        <v>0</v>
      </c>
      <c r="H36" s="12">
        <v>0</v>
      </c>
      <c r="I36" s="12">
        <v>28</v>
      </c>
      <c r="J36" s="12">
        <v>24</v>
      </c>
      <c r="K36" s="12">
        <v>0</v>
      </c>
      <c r="L36" s="12">
        <v>0</v>
      </c>
      <c r="M36" s="12">
        <v>21</v>
      </c>
      <c r="N36" s="12">
        <v>44</v>
      </c>
      <c r="O36" s="12">
        <v>7</v>
      </c>
      <c r="P36" s="10"/>
      <c r="Q36" s="10"/>
      <c r="R36" s="10"/>
      <c r="S36" s="14"/>
      <c r="T36" s="14"/>
    </row>
    <row r="37" spans="1:21" x14ac:dyDescent="0.25">
      <c r="A37" s="3" t="s">
        <v>76</v>
      </c>
      <c r="B37" s="4" t="s">
        <v>77</v>
      </c>
      <c r="C37" s="5" t="s">
        <v>28</v>
      </c>
      <c r="D37" s="6">
        <v>25</v>
      </c>
      <c r="E37" s="6">
        <v>0</v>
      </c>
      <c r="F37" s="6">
        <v>50</v>
      </c>
      <c r="G37" s="6">
        <v>0</v>
      </c>
      <c r="H37" s="6">
        <v>0</v>
      </c>
      <c r="I37" s="6">
        <v>50</v>
      </c>
      <c r="J37" s="6">
        <v>0</v>
      </c>
      <c r="K37" s="6">
        <v>0</v>
      </c>
      <c r="L37" s="6">
        <v>25</v>
      </c>
      <c r="M37" s="6">
        <v>0</v>
      </c>
      <c r="N37" s="6">
        <v>0</v>
      </c>
      <c r="O37" s="6">
        <v>0</v>
      </c>
      <c r="P37" s="7">
        <v>25</v>
      </c>
      <c r="Q37" s="7">
        <v>25</v>
      </c>
      <c r="R37" s="7">
        <v>0</v>
      </c>
      <c r="S37" s="13">
        <v>0</v>
      </c>
      <c r="T37" s="15">
        <v>5.45</v>
      </c>
      <c r="U37" s="8">
        <f>IF(S37="",0,S37)*T37</f>
        <v>0</v>
      </c>
    </row>
    <row r="38" spans="1:21" x14ac:dyDescent="0.25">
      <c r="A38" s="9" t="s">
        <v>78</v>
      </c>
      <c r="B38" s="10"/>
      <c r="C38" s="11" t="s">
        <v>30</v>
      </c>
      <c r="D38" s="12">
        <v>12</v>
      </c>
      <c r="E38" s="12">
        <v>10</v>
      </c>
      <c r="F38" s="12">
        <v>18</v>
      </c>
      <c r="G38" s="12">
        <v>9</v>
      </c>
      <c r="H38" s="12">
        <v>15</v>
      </c>
      <c r="I38" s="12">
        <v>12</v>
      </c>
      <c r="J38" s="12">
        <v>8</v>
      </c>
      <c r="K38" s="12">
        <v>15</v>
      </c>
      <c r="L38" s="12">
        <v>17</v>
      </c>
      <c r="M38" s="12">
        <v>4</v>
      </c>
      <c r="N38" s="12">
        <v>4</v>
      </c>
      <c r="O38" s="12">
        <v>1</v>
      </c>
      <c r="P38" s="10"/>
      <c r="Q38" s="10"/>
      <c r="R38" s="10"/>
      <c r="S38" s="14"/>
      <c r="T38" s="14"/>
    </row>
    <row r="39" spans="1:21" x14ac:dyDescent="0.25">
      <c r="A39" s="3" t="s">
        <v>79</v>
      </c>
      <c r="B39" s="4" t="s">
        <v>80</v>
      </c>
      <c r="C39" s="5" t="s">
        <v>28</v>
      </c>
      <c r="D39" s="6">
        <v>0</v>
      </c>
      <c r="E39" s="6">
        <v>25</v>
      </c>
      <c r="F39" s="6">
        <v>0</v>
      </c>
      <c r="G39" s="6">
        <v>50</v>
      </c>
      <c r="H39" s="6">
        <v>25</v>
      </c>
      <c r="I39" s="6">
        <v>25</v>
      </c>
      <c r="J39" s="6">
        <v>0</v>
      </c>
      <c r="K39" s="6">
        <v>50</v>
      </c>
      <c r="L39" s="6">
        <v>25</v>
      </c>
      <c r="M39" s="6">
        <v>0</v>
      </c>
      <c r="N39" s="6">
        <v>25</v>
      </c>
      <c r="O39" s="6">
        <v>0</v>
      </c>
      <c r="P39" s="7">
        <v>0</v>
      </c>
      <c r="Q39" s="7">
        <v>30</v>
      </c>
      <c r="R39" s="7">
        <v>0</v>
      </c>
      <c r="S39" s="13">
        <v>0</v>
      </c>
      <c r="T39" s="15">
        <v>5.79</v>
      </c>
      <c r="U39" s="8">
        <f>IF(S39="",0,S39)*T39</f>
        <v>0</v>
      </c>
    </row>
    <row r="40" spans="1:21" x14ac:dyDescent="0.25">
      <c r="A40" s="9" t="s">
        <v>81</v>
      </c>
      <c r="B40" s="10"/>
      <c r="C40" s="11" t="s">
        <v>30</v>
      </c>
      <c r="D40" s="12">
        <v>9</v>
      </c>
      <c r="E40" s="12">
        <v>5</v>
      </c>
      <c r="F40" s="12">
        <v>41</v>
      </c>
      <c r="G40" s="12">
        <v>24</v>
      </c>
      <c r="H40" s="12">
        <v>32</v>
      </c>
      <c r="I40" s="12">
        <v>14</v>
      </c>
      <c r="J40" s="12">
        <v>21</v>
      </c>
      <c r="K40" s="12">
        <v>28</v>
      </c>
      <c r="L40" s="12">
        <v>23</v>
      </c>
      <c r="M40" s="12">
        <v>5</v>
      </c>
      <c r="N40" s="12">
        <v>10</v>
      </c>
      <c r="O40" s="12">
        <v>25</v>
      </c>
      <c r="P40" s="10"/>
      <c r="Q40" s="10"/>
      <c r="R40" s="10"/>
      <c r="S40" s="14"/>
      <c r="T40" s="14"/>
    </row>
    <row r="41" spans="1:21" x14ac:dyDescent="0.25">
      <c r="A41" s="3" t="s">
        <v>82</v>
      </c>
      <c r="B41" s="4" t="s">
        <v>83</v>
      </c>
      <c r="C41" s="5" t="s">
        <v>28</v>
      </c>
      <c r="D41" s="6">
        <v>14</v>
      </c>
      <c r="E41" s="6">
        <v>14</v>
      </c>
      <c r="F41" s="6">
        <v>0</v>
      </c>
      <c r="G41" s="6">
        <v>12</v>
      </c>
      <c r="H41" s="6">
        <v>12</v>
      </c>
      <c r="I41" s="6">
        <v>0</v>
      </c>
      <c r="J41" s="6">
        <v>24</v>
      </c>
      <c r="K41" s="6">
        <v>24</v>
      </c>
      <c r="L41" s="6">
        <v>24</v>
      </c>
      <c r="M41" s="6">
        <v>24</v>
      </c>
      <c r="N41" s="6">
        <v>0</v>
      </c>
      <c r="O41" s="6">
        <v>0</v>
      </c>
      <c r="P41" s="7">
        <v>4</v>
      </c>
      <c r="Q41" s="7">
        <v>12</v>
      </c>
      <c r="R41" s="7">
        <v>12</v>
      </c>
      <c r="S41" s="13">
        <v>0</v>
      </c>
      <c r="T41" s="15">
        <v>1.85</v>
      </c>
      <c r="U41" s="8">
        <f>IF(S41="",0,S41)*T41</f>
        <v>0</v>
      </c>
    </row>
    <row r="42" spans="1:21" x14ac:dyDescent="0.25">
      <c r="A42" s="9" t="s">
        <v>84</v>
      </c>
      <c r="B42" s="10"/>
      <c r="C42" s="11" t="s">
        <v>30</v>
      </c>
      <c r="D42" s="12">
        <v>5</v>
      </c>
      <c r="E42" s="12">
        <v>13</v>
      </c>
      <c r="F42" s="12">
        <v>10</v>
      </c>
      <c r="G42" s="12">
        <v>2</v>
      </c>
      <c r="H42" s="12">
        <v>19</v>
      </c>
      <c r="I42" s="12">
        <v>1</v>
      </c>
      <c r="J42" s="12">
        <v>18</v>
      </c>
      <c r="K42" s="12">
        <v>24</v>
      </c>
      <c r="L42" s="12">
        <v>21</v>
      </c>
      <c r="M42" s="12">
        <v>14</v>
      </c>
      <c r="N42" s="12">
        <v>17</v>
      </c>
      <c r="O42" s="12">
        <v>0</v>
      </c>
      <c r="P42" s="10"/>
      <c r="Q42" s="10"/>
      <c r="R42" s="10"/>
      <c r="S42" s="14"/>
      <c r="T42" s="14"/>
    </row>
    <row r="43" spans="1:21" x14ac:dyDescent="0.25">
      <c r="A43" s="3" t="s">
        <v>85</v>
      </c>
      <c r="B43" s="4" t="s">
        <v>86</v>
      </c>
      <c r="C43" s="5" t="s">
        <v>28</v>
      </c>
      <c r="D43" s="6">
        <v>0</v>
      </c>
      <c r="E43" s="6">
        <v>12</v>
      </c>
      <c r="F43" s="6">
        <v>0</v>
      </c>
      <c r="G43" s="6">
        <v>12</v>
      </c>
      <c r="H43" s="6">
        <v>12</v>
      </c>
      <c r="I43" s="6">
        <v>0</v>
      </c>
      <c r="J43" s="6">
        <v>12</v>
      </c>
      <c r="K43" s="6">
        <v>12</v>
      </c>
      <c r="L43" s="6">
        <v>0</v>
      </c>
      <c r="M43" s="6">
        <v>12</v>
      </c>
      <c r="N43" s="6">
        <v>12</v>
      </c>
      <c r="O43" s="6">
        <v>12</v>
      </c>
      <c r="P43" s="7">
        <v>3</v>
      </c>
      <c r="Q43" s="7">
        <v>12</v>
      </c>
      <c r="R43" s="7">
        <v>0</v>
      </c>
      <c r="S43" s="13">
        <v>0</v>
      </c>
      <c r="T43" s="15">
        <v>6.33</v>
      </c>
      <c r="U43" s="8">
        <f>IF(S43="",0,S43)*T43</f>
        <v>0</v>
      </c>
    </row>
    <row r="44" spans="1:21" x14ac:dyDescent="0.25">
      <c r="A44" s="9" t="s">
        <v>87</v>
      </c>
      <c r="B44" s="10"/>
      <c r="C44" s="11" t="s">
        <v>30</v>
      </c>
      <c r="D44" s="12">
        <v>4</v>
      </c>
      <c r="E44" s="12">
        <v>7</v>
      </c>
      <c r="F44" s="12">
        <v>8</v>
      </c>
      <c r="G44" s="12">
        <v>14</v>
      </c>
      <c r="H44" s="12">
        <v>2</v>
      </c>
      <c r="I44" s="12">
        <v>10</v>
      </c>
      <c r="J44" s="12">
        <v>7</v>
      </c>
      <c r="K44" s="12">
        <v>5</v>
      </c>
      <c r="L44" s="12">
        <v>9</v>
      </c>
      <c r="M44" s="12">
        <v>7</v>
      </c>
      <c r="N44" s="12">
        <v>10</v>
      </c>
      <c r="O44" s="12">
        <v>10</v>
      </c>
      <c r="P44" s="10"/>
      <c r="Q44" s="10"/>
      <c r="R44" s="10"/>
      <c r="S44" s="14"/>
      <c r="T44" s="14"/>
    </row>
    <row r="45" spans="1:21" x14ac:dyDescent="0.25">
      <c r="A45" s="3" t="s">
        <v>88</v>
      </c>
      <c r="B45" s="4" t="s">
        <v>89</v>
      </c>
      <c r="C45" s="5" t="s">
        <v>28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500</v>
      </c>
      <c r="L45" s="6">
        <v>1500</v>
      </c>
      <c r="M45" s="6">
        <v>100</v>
      </c>
      <c r="N45" s="6">
        <v>0</v>
      </c>
      <c r="O45" s="6">
        <v>0</v>
      </c>
      <c r="P45" s="7">
        <v>96</v>
      </c>
      <c r="Q45" s="7">
        <v>1</v>
      </c>
      <c r="R45" s="7">
        <v>334</v>
      </c>
      <c r="S45" s="13">
        <v>0</v>
      </c>
      <c r="T45" s="15">
        <v>5.5</v>
      </c>
      <c r="U45" s="8">
        <f>IF(S45="",0,S45)*T45</f>
        <v>0</v>
      </c>
    </row>
    <row r="46" spans="1:21" x14ac:dyDescent="0.25">
      <c r="A46" s="9" t="s">
        <v>90</v>
      </c>
      <c r="B46" s="10"/>
      <c r="C46" s="11" t="s">
        <v>30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383</v>
      </c>
      <c r="L46" s="12">
        <v>1520</v>
      </c>
      <c r="M46" s="12">
        <v>101</v>
      </c>
      <c r="N46" s="12">
        <v>0</v>
      </c>
      <c r="O46" s="12">
        <v>0</v>
      </c>
      <c r="P46" s="10"/>
      <c r="Q46" s="10"/>
      <c r="R46" s="10"/>
      <c r="S46" s="14"/>
      <c r="T46" s="14"/>
    </row>
    <row r="47" spans="1:21" x14ac:dyDescent="0.25">
      <c r="A47" s="3" t="s">
        <v>91</v>
      </c>
      <c r="B47" s="4" t="s">
        <v>92</v>
      </c>
      <c r="C47" s="5" t="s">
        <v>28</v>
      </c>
      <c r="D47" s="6">
        <v>0</v>
      </c>
      <c r="E47" s="6">
        <v>0</v>
      </c>
      <c r="F47" s="6">
        <v>24</v>
      </c>
      <c r="G47" s="6">
        <v>0</v>
      </c>
      <c r="H47" s="6">
        <v>24</v>
      </c>
      <c r="I47" s="6">
        <v>0</v>
      </c>
      <c r="J47" s="6">
        <v>24</v>
      </c>
      <c r="K47" s="6">
        <v>24</v>
      </c>
      <c r="L47" s="6">
        <v>0</v>
      </c>
      <c r="M47" s="6">
        <v>24</v>
      </c>
      <c r="N47" s="6">
        <v>0</v>
      </c>
      <c r="O47" s="6">
        <v>24</v>
      </c>
      <c r="P47" s="7">
        <v>0</v>
      </c>
      <c r="Q47" s="7">
        <v>12</v>
      </c>
      <c r="R47" s="7">
        <v>12</v>
      </c>
      <c r="S47" s="13">
        <v>0</v>
      </c>
      <c r="T47" s="15">
        <v>5.73</v>
      </c>
      <c r="U47" s="8">
        <f>IF(S47="",0,S47)*T47</f>
        <v>0</v>
      </c>
    </row>
    <row r="48" spans="1:21" x14ac:dyDescent="0.25">
      <c r="A48" s="9" t="s">
        <v>93</v>
      </c>
      <c r="B48" s="10"/>
      <c r="C48" s="11" t="s">
        <v>30</v>
      </c>
      <c r="D48" s="12">
        <v>9</v>
      </c>
      <c r="E48" s="12">
        <v>5</v>
      </c>
      <c r="F48" s="12">
        <v>12</v>
      </c>
      <c r="G48" s="12">
        <v>17</v>
      </c>
      <c r="H48" s="12">
        <v>12</v>
      </c>
      <c r="I48" s="12">
        <v>11</v>
      </c>
      <c r="J48" s="12">
        <v>14</v>
      </c>
      <c r="K48" s="12">
        <v>16</v>
      </c>
      <c r="L48" s="12">
        <v>11</v>
      </c>
      <c r="M48" s="12">
        <v>17</v>
      </c>
      <c r="N48" s="12">
        <v>4</v>
      </c>
      <c r="O48" s="12">
        <v>17</v>
      </c>
      <c r="P48" s="10"/>
      <c r="Q48" s="10"/>
      <c r="R48" s="10"/>
      <c r="S48" s="14"/>
      <c r="T48" s="14"/>
    </row>
    <row r="49" spans="1:21" x14ac:dyDescent="0.25">
      <c r="A49" s="3" t="s">
        <v>94</v>
      </c>
      <c r="B49" s="4" t="s">
        <v>95</v>
      </c>
      <c r="C49" s="5" t="s">
        <v>28</v>
      </c>
      <c r="D49" s="6">
        <v>12</v>
      </c>
      <c r="E49" s="6">
        <v>24</v>
      </c>
      <c r="F49" s="6">
        <v>12</v>
      </c>
      <c r="G49" s="6">
        <v>0</v>
      </c>
      <c r="H49" s="6">
        <v>12</v>
      </c>
      <c r="I49" s="6">
        <v>12</v>
      </c>
      <c r="J49" s="6">
        <v>0</v>
      </c>
      <c r="K49" s="6">
        <v>12</v>
      </c>
      <c r="L49" s="6">
        <v>0</v>
      </c>
      <c r="M49" s="6">
        <v>36</v>
      </c>
      <c r="N49" s="6">
        <v>0</v>
      </c>
      <c r="O49" s="6">
        <v>0</v>
      </c>
      <c r="P49" s="7">
        <v>1</v>
      </c>
      <c r="Q49" s="7">
        <v>6</v>
      </c>
      <c r="R49" s="7">
        <v>6</v>
      </c>
      <c r="S49" s="13">
        <v>0</v>
      </c>
      <c r="T49" s="15">
        <v>3.98</v>
      </c>
      <c r="U49" s="8">
        <f>IF(S49="",0,S49)*T49</f>
        <v>0</v>
      </c>
    </row>
    <row r="50" spans="1:21" x14ac:dyDescent="0.25">
      <c r="A50" s="9" t="s">
        <v>96</v>
      </c>
      <c r="B50" s="10"/>
      <c r="C50" s="11" t="s">
        <v>30</v>
      </c>
      <c r="D50" s="12">
        <v>21</v>
      </c>
      <c r="E50" s="12">
        <v>9</v>
      </c>
      <c r="F50" s="12">
        <v>9</v>
      </c>
      <c r="G50" s="12">
        <v>6</v>
      </c>
      <c r="H50" s="12">
        <v>10</v>
      </c>
      <c r="I50" s="12">
        <v>14</v>
      </c>
      <c r="J50" s="12">
        <v>1</v>
      </c>
      <c r="K50" s="12">
        <v>10</v>
      </c>
      <c r="L50" s="12">
        <v>10</v>
      </c>
      <c r="M50" s="12">
        <v>15</v>
      </c>
      <c r="N50" s="12">
        <v>6</v>
      </c>
      <c r="O50" s="12">
        <v>8</v>
      </c>
      <c r="P50" s="10"/>
      <c r="Q50" s="10"/>
      <c r="R50" s="10"/>
      <c r="S50" s="14"/>
      <c r="T50" s="14"/>
    </row>
    <row r="51" spans="1:21" x14ac:dyDescent="0.25">
      <c r="A51" s="3" t="s">
        <v>97</v>
      </c>
      <c r="B51" s="4" t="s">
        <v>98</v>
      </c>
      <c r="C51" s="5" t="s">
        <v>28</v>
      </c>
      <c r="D51" s="6">
        <v>24</v>
      </c>
      <c r="E51" s="6">
        <v>48</v>
      </c>
      <c r="F51" s="6">
        <v>24</v>
      </c>
      <c r="G51" s="6">
        <v>24</v>
      </c>
      <c r="H51" s="6">
        <v>48</v>
      </c>
      <c r="I51" s="6">
        <v>0</v>
      </c>
      <c r="J51" s="6">
        <v>48</v>
      </c>
      <c r="K51" s="6">
        <v>48</v>
      </c>
      <c r="L51" s="6">
        <v>24</v>
      </c>
      <c r="M51" s="6">
        <v>48</v>
      </c>
      <c r="N51" s="6">
        <v>24</v>
      </c>
      <c r="O51" s="6">
        <v>24</v>
      </c>
      <c r="P51" s="7">
        <v>35</v>
      </c>
      <c r="Q51" s="7">
        <v>6</v>
      </c>
      <c r="R51" s="7">
        <v>30</v>
      </c>
      <c r="S51" s="13">
        <v>0</v>
      </c>
      <c r="T51" s="15">
        <v>4.07</v>
      </c>
      <c r="U51" s="8">
        <f>IF(S51="",0,S51)*T51</f>
        <v>0</v>
      </c>
    </row>
    <row r="52" spans="1:21" x14ac:dyDescent="0.25">
      <c r="A52" s="9" t="s">
        <v>99</v>
      </c>
      <c r="B52" s="10"/>
      <c r="C52" s="11" t="s">
        <v>30</v>
      </c>
      <c r="D52" s="12">
        <v>20</v>
      </c>
      <c r="E52" s="12">
        <v>29</v>
      </c>
      <c r="F52" s="12">
        <v>38</v>
      </c>
      <c r="G52" s="12">
        <v>23</v>
      </c>
      <c r="H52" s="12">
        <v>19</v>
      </c>
      <c r="I52" s="12">
        <v>32</v>
      </c>
      <c r="J52" s="12">
        <v>35</v>
      </c>
      <c r="K52" s="12">
        <v>43</v>
      </c>
      <c r="L52" s="12">
        <v>20</v>
      </c>
      <c r="M52" s="12">
        <v>36</v>
      </c>
      <c r="N52" s="12">
        <v>29</v>
      </c>
      <c r="O52" s="12">
        <v>25</v>
      </c>
      <c r="P52" s="10"/>
      <c r="Q52" s="10"/>
      <c r="R52" s="10"/>
      <c r="S52" s="14"/>
      <c r="T52" s="14"/>
    </row>
    <row r="53" spans="1:21" x14ac:dyDescent="0.25">
      <c r="A53" s="3" t="s">
        <v>100</v>
      </c>
      <c r="B53" s="4" t="s">
        <v>101</v>
      </c>
      <c r="C53" s="5" t="s">
        <v>28</v>
      </c>
      <c r="D53" s="6">
        <v>20</v>
      </c>
      <c r="E53" s="6">
        <v>0</v>
      </c>
      <c r="F53" s="6">
        <v>20</v>
      </c>
      <c r="G53" s="6">
        <v>20</v>
      </c>
      <c r="H53" s="6">
        <v>0</v>
      </c>
      <c r="I53" s="6">
        <v>20</v>
      </c>
      <c r="J53" s="6">
        <v>0</v>
      </c>
      <c r="K53" s="6">
        <v>20</v>
      </c>
      <c r="L53" s="6">
        <v>0</v>
      </c>
      <c r="M53" s="6">
        <v>40</v>
      </c>
      <c r="N53" s="6">
        <v>20</v>
      </c>
      <c r="O53" s="6">
        <v>0</v>
      </c>
      <c r="P53" s="7">
        <v>8</v>
      </c>
      <c r="Q53" s="7">
        <v>120</v>
      </c>
      <c r="R53" s="7">
        <v>0</v>
      </c>
      <c r="S53" s="13">
        <v>0</v>
      </c>
      <c r="T53" s="15">
        <v>3.33</v>
      </c>
      <c r="U53" s="8">
        <f>IF(S53="",0,S53)*T53</f>
        <v>0</v>
      </c>
    </row>
    <row r="54" spans="1:21" x14ac:dyDescent="0.25">
      <c r="A54" s="9" t="s">
        <v>102</v>
      </c>
      <c r="B54" s="10"/>
      <c r="C54" s="11" t="s">
        <v>30</v>
      </c>
      <c r="D54" s="12">
        <v>14</v>
      </c>
      <c r="E54" s="12">
        <v>9</v>
      </c>
      <c r="F54" s="12">
        <v>16</v>
      </c>
      <c r="G54" s="12">
        <v>9</v>
      </c>
      <c r="H54" s="12">
        <v>16</v>
      </c>
      <c r="I54" s="12">
        <v>13</v>
      </c>
      <c r="J54" s="12">
        <v>9</v>
      </c>
      <c r="K54" s="12">
        <v>16</v>
      </c>
      <c r="L54" s="12">
        <v>11</v>
      </c>
      <c r="M54" s="12">
        <v>18</v>
      </c>
      <c r="N54" s="12">
        <v>11</v>
      </c>
      <c r="O54" s="12">
        <v>10</v>
      </c>
      <c r="P54" s="10"/>
      <c r="Q54" s="10"/>
      <c r="R54" s="10"/>
      <c r="S54" s="14"/>
      <c r="T54" s="14"/>
    </row>
    <row r="55" spans="1:21" x14ac:dyDescent="0.25">
      <c r="A55" s="3" t="s">
        <v>103</v>
      </c>
      <c r="B55" s="4" t="s">
        <v>104</v>
      </c>
      <c r="C55" s="5" t="s">
        <v>28</v>
      </c>
      <c r="D55" s="6">
        <v>40</v>
      </c>
      <c r="E55" s="6">
        <v>40</v>
      </c>
      <c r="F55" s="6">
        <v>80</v>
      </c>
      <c r="G55" s="6">
        <v>40</v>
      </c>
      <c r="H55" s="6">
        <v>40</v>
      </c>
      <c r="I55" s="6">
        <v>0</v>
      </c>
      <c r="J55" s="6">
        <v>80</v>
      </c>
      <c r="K55" s="6">
        <v>40</v>
      </c>
      <c r="L55" s="6">
        <v>40</v>
      </c>
      <c r="M55" s="6">
        <v>0</v>
      </c>
      <c r="N55" s="6">
        <v>40</v>
      </c>
      <c r="O55" s="6">
        <v>0</v>
      </c>
      <c r="P55" s="7">
        <v>37</v>
      </c>
      <c r="Q55" s="7">
        <v>20</v>
      </c>
      <c r="R55" s="7">
        <v>20</v>
      </c>
      <c r="S55" s="13">
        <v>0</v>
      </c>
      <c r="T55" s="15">
        <v>3.46</v>
      </c>
      <c r="U55" s="8">
        <f>IF(S55="",0,S55)*T55</f>
        <v>0</v>
      </c>
    </row>
    <row r="56" spans="1:21" x14ac:dyDescent="0.25">
      <c r="A56" s="9" t="s">
        <v>105</v>
      </c>
      <c r="B56" s="10"/>
      <c r="C56" s="11" t="s">
        <v>30</v>
      </c>
      <c r="D56" s="12">
        <v>38</v>
      </c>
      <c r="E56" s="12">
        <v>42</v>
      </c>
      <c r="F56" s="12">
        <v>39</v>
      </c>
      <c r="G56" s="12">
        <v>37</v>
      </c>
      <c r="H56" s="12">
        <v>26</v>
      </c>
      <c r="I56" s="12">
        <v>41</v>
      </c>
      <c r="J56" s="12">
        <v>47</v>
      </c>
      <c r="K56" s="12">
        <v>41</v>
      </c>
      <c r="L56" s="12">
        <v>38</v>
      </c>
      <c r="M56" s="12">
        <v>19</v>
      </c>
      <c r="N56" s="12">
        <v>19</v>
      </c>
      <c r="O56" s="12">
        <v>16</v>
      </c>
      <c r="P56" s="10"/>
      <c r="Q56" s="10"/>
      <c r="R56" s="10"/>
      <c r="S56" s="14"/>
      <c r="T56" s="14"/>
    </row>
    <row r="57" spans="1:21" x14ac:dyDescent="0.25">
      <c r="A57" s="3" t="s">
        <v>106</v>
      </c>
      <c r="B57" s="4" t="s">
        <v>107</v>
      </c>
      <c r="C57" s="5" t="s">
        <v>28</v>
      </c>
      <c r="D57" s="6">
        <v>0</v>
      </c>
      <c r="E57" s="6">
        <v>30</v>
      </c>
      <c r="F57" s="6">
        <v>30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30</v>
      </c>
      <c r="M57" s="6">
        <v>30</v>
      </c>
      <c r="N57" s="6">
        <v>0</v>
      </c>
      <c r="O57" s="6">
        <v>0</v>
      </c>
      <c r="P57" s="7">
        <v>0</v>
      </c>
      <c r="Q57" s="7">
        <v>10</v>
      </c>
      <c r="R57" s="7">
        <v>0</v>
      </c>
      <c r="S57" s="13">
        <v>0</v>
      </c>
      <c r="T57" s="15">
        <v>2.48</v>
      </c>
      <c r="U57" s="8">
        <f>IF(S57="",0,S57)*T57</f>
        <v>0</v>
      </c>
    </row>
    <row r="58" spans="1:21" x14ac:dyDescent="0.25">
      <c r="A58" s="9" t="s">
        <v>108</v>
      </c>
      <c r="B58" s="10"/>
      <c r="C58" s="11" t="s">
        <v>30</v>
      </c>
      <c r="D58" s="12">
        <v>12</v>
      </c>
      <c r="E58" s="12">
        <v>18</v>
      </c>
      <c r="F58" s="12">
        <v>12</v>
      </c>
      <c r="G58" s="12">
        <v>14</v>
      </c>
      <c r="H58" s="12">
        <v>13</v>
      </c>
      <c r="I58" s="12">
        <v>0</v>
      </c>
      <c r="J58" s="12">
        <v>0</v>
      </c>
      <c r="K58" s="12">
        <v>0</v>
      </c>
      <c r="L58" s="12">
        <v>15</v>
      </c>
      <c r="M58" s="12">
        <v>10</v>
      </c>
      <c r="N58" s="12">
        <v>21</v>
      </c>
      <c r="O58" s="12">
        <v>8</v>
      </c>
      <c r="P58" s="10"/>
      <c r="Q58" s="10"/>
      <c r="R58" s="10"/>
      <c r="S58" s="14"/>
      <c r="T58" s="14"/>
    </row>
    <row r="59" spans="1:21" x14ac:dyDescent="0.25">
      <c r="A59" s="3" t="s">
        <v>109</v>
      </c>
      <c r="B59" s="4" t="s">
        <v>110</v>
      </c>
      <c r="C59" s="5" t="s">
        <v>28</v>
      </c>
      <c r="D59" s="6">
        <v>0</v>
      </c>
      <c r="E59" s="6">
        <v>0</v>
      </c>
      <c r="F59" s="6">
        <v>0</v>
      </c>
      <c r="G59" s="6">
        <v>20</v>
      </c>
      <c r="H59" s="6">
        <v>0</v>
      </c>
      <c r="I59" s="6">
        <v>20</v>
      </c>
      <c r="J59" s="6">
        <v>0</v>
      </c>
      <c r="K59" s="6">
        <v>0</v>
      </c>
      <c r="L59" s="6">
        <v>20</v>
      </c>
      <c r="M59" s="6">
        <v>0</v>
      </c>
      <c r="N59" s="6">
        <v>20</v>
      </c>
      <c r="O59" s="6">
        <v>0</v>
      </c>
      <c r="P59" s="7">
        <v>0</v>
      </c>
      <c r="Q59" s="7">
        <v>40</v>
      </c>
      <c r="R59" s="7">
        <v>0</v>
      </c>
      <c r="S59" s="13">
        <v>0</v>
      </c>
      <c r="T59" s="15">
        <v>3.12</v>
      </c>
      <c r="U59" s="8">
        <f>IF(S59="",0,S59)*T59</f>
        <v>0</v>
      </c>
    </row>
    <row r="60" spans="1:21" x14ac:dyDescent="0.25">
      <c r="A60" s="9" t="s">
        <v>111</v>
      </c>
      <c r="B60" s="10"/>
      <c r="C60" s="11" t="s">
        <v>30</v>
      </c>
      <c r="D60" s="12">
        <v>4</v>
      </c>
      <c r="E60" s="12">
        <v>10</v>
      </c>
      <c r="F60" s="12">
        <v>26</v>
      </c>
      <c r="G60" s="12">
        <v>8</v>
      </c>
      <c r="H60" s="12">
        <v>2</v>
      </c>
      <c r="I60" s="12">
        <v>5</v>
      </c>
      <c r="J60" s="12">
        <v>2</v>
      </c>
      <c r="K60" s="12">
        <v>17</v>
      </c>
      <c r="L60" s="12">
        <v>13</v>
      </c>
      <c r="M60" s="12">
        <v>5</v>
      </c>
      <c r="N60" s="12">
        <v>6</v>
      </c>
      <c r="O60" s="12">
        <v>9</v>
      </c>
      <c r="P60" s="10"/>
      <c r="Q60" s="10"/>
      <c r="R60" s="10"/>
      <c r="S60" s="14"/>
      <c r="T60" s="14"/>
    </row>
    <row r="61" spans="1:21" x14ac:dyDescent="0.25">
      <c r="A61" s="3" t="s">
        <v>112</v>
      </c>
      <c r="B61" s="4" t="s">
        <v>113</v>
      </c>
      <c r="C61" s="5" t="s">
        <v>28</v>
      </c>
      <c r="D61" s="6">
        <v>0</v>
      </c>
      <c r="E61" s="6">
        <v>6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7">
        <v>0</v>
      </c>
      <c r="Q61" s="7">
        <v>6</v>
      </c>
      <c r="R61" s="7">
        <v>0</v>
      </c>
      <c r="S61" s="13">
        <v>0</v>
      </c>
      <c r="T61" s="15">
        <v>24.2</v>
      </c>
      <c r="U61" s="8">
        <f>IF(S61="",0,S61)*T61</f>
        <v>0</v>
      </c>
    </row>
    <row r="62" spans="1:21" x14ac:dyDescent="0.25">
      <c r="A62" s="9" t="s">
        <v>114</v>
      </c>
      <c r="B62" s="10"/>
      <c r="C62" s="11" t="s">
        <v>30</v>
      </c>
      <c r="D62" s="12">
        <v>0</v>
      </c>
      <c r="E62" s="12">
        <v>0</v>
      </c>
      <c r="F62" s="12">
        <v>0</v>
      </c>
      <c r="G62" s="12">
        <v>1</v>
      </c>
      <c r="H62" s="12">
        <v>0</v>
      </c>
      <c r="I62" s="12">
        <v>0</v>
      </c>
      <c r="J62" s="12">
        <v>1</v>
      </c>
      <c r="K62" s="12">
        <v>0</v>
      </c>
      <c r="L62" s="12">
        <v>2</v>
      </c>
      <c r="M62" s="12">
        <v>1</v>
      </c>
      <c r="N62" s="12">
        <v>1</v>
      </c>
      <c r="O62" s="12">
        <v>0</v>
      </c>
      <c r="P62" s="10"/>
      <c r="Q62" s="10"/>
      <c r="R62" s="10"/>
      <c r="S62" s="14"/>
      <c r="T62" s="14"/>
    </row>
    <row r="63" spans="1:21" x14ac:dyDescent="0.25">
      <c r="A63" s="3" t="s">
        <v>115</v>
      </c>
      <c r="B63" s="4" t="s">
        <v>116</v>
      </c>
      <c r="C63" s="5" t="s">
        <v>28</v>
      </c>
      <c r="D63" s="6">
        <v>0</v>
      </c>
      <c r="E63" s="6">
        <v>40</v>
      </c>
      <c r="F63" s="6">
        <v>0</v>
      </c>
      <c r="G63" s="6">
        <v>40</v>
      </c>
      <c r="H63" s="6">
        <v>0</v>
      </c>
      <c r="I63" s="6">
        <v>0</v>
      </c>
      <c r="J63" s="6">
        <v>40</v>
      </c>
      <c r="K63" s="6">
        <v>40</v>
      </c>
      <c r="L63" s="6">
        <v>40</v>
      </c>
      <c r="M63" s="6">
        <v>40</v>
      </c>
      <c r="N63" s="6">
        <v>40</v>
      </c>
      <c r="O63" s="6">
        <v>40</v>
      </c>
      <c r="P63" s="7">
        <v>0</v>
      </c>
      <c r="Q63" s="7">
        <v>1</v>
      </c>
      <c r="R63" s="7">
        <v>38</v>
      </c>
      <c r="S63" s="13">
        <v>0</v>
      </c>
      <c r="T63" s="15">
        <v>1.6</v>
      </c>
      <c r="U63" s="8">
        <f>IF(S63="",0,S63)*T63</f>
        <v>0</v>
      </c>
    </row>
    <row r="64" spans="1:21" x14ac:dyDescent="0.25">
      <c r="A64" s="9" t="s">
        <v>117</v>
      </c>
      <c r="B64" s="10"/>
      <c r="C64" s="11" t="s">
        <v>30</v>
      </c>
      <c r="D64" s="12">
        <v>21</v>
      </c>
      <c r="E64" s="12">
        <v>13</v>
      </c>
      <c r="F64" s="12">
        <v>15</v>
      </c>
      <c r="G64" s="12">
        <v>14</v>
      </c>
      <c r="H64" s="12">
        <v>9</v>
      </c>
      <c r="I64" s="12">
        <v>26</v>
      </c>
      <c r="J64" s="12">
        <v>24</v>
      </c>
      <c r="K64" s="12">
        <v>71</v>
      </c>
      <c r="L64" s="12">
        <v>37</v>
      </c>
      <c r="M64" s="12">
        <v>25</v>
      </c>
      <c r="N64" s="12">
        <v>45</v>
      </c>
      <c r="O64" s="12">
        <v>31</v>
      </c>
      <c r="P64" s="10"/>
      <c r="Q64" s="10"/>
      <c r="R64" s="10"/>
      <c r="S64" s="14"/>
      <c r="T64" s="14"/>
    </row>
    <row r="65" spans="1:21" x14ac:dyDescent="0.25">
      <c r="A65" s="3" t="s">
        <v>118</v>
      </c>
      <c r="B65" s="4" t="s">
        <v>119</v>
      </c>
      <c r="C65" s="5" t="s">
        <v>28</v>
      </c>
      <c r="D65" s="6">
        <v>20</v>
      </c>
      <c r="E65" s="6">
        <v>0</v>
      </c>
      <c r="F65" s="6">
        <v>20</v>
      </c>
      <c r="G65" s="6">
        <v>40</v>
      </c>
      <c r="H65" s="6">
        <v>0</v>
      </c>
      <c r="I65" s="6">
        <v>0</v>
      </c>
      <c r="J65" s="6">
        <v>0</v>
      </c>
      <c r="K65" s="6">
        <v>20</v>
      </c>
      <c r="L65" s="6">
        <v>20</v>
      </c>
      <c r="M65" s="6">
        <v>20</v>
      </c>
      <c r="N65" s="6">
        <v>20</v>
      </c>
      <c r="O65" s="6">
        <v>20</v>
      </c>
      <c r="P65" s="7">
        <v>4</v>
      </c>
      <c r="Q65" s="7">
        <v>10</v>
      </c>
      <c r="R65" s="7">
        <v>10</v>
      </c>
      <c r="S65" s="13">
        <v>0</v>
      </c>
      <c r="T65" s="15">
        <v>2.44</v>
      </c>
      <c r="U65" s="8">
        <f>IF(S65="",0,S65)*T65</f>
        <v>0</v>
      </c>
    </row>
    <row r="66" spans="1:21" x14ac:dyDescent="0.25">
      <c r="A66" s="9" t="s">
        <v>120</v>
      </c>
      <c r="B66" s="10"/>
      <c r="C66" s="11" t="s">
        <v>30</v>
      </c>
      <c r="D66" s="12">
        <v>8</v>
      </c>
      <c r="E66" s="12">
        <v>14</v>
      </c>
      <c r="F66" s="12">
        <v>19</v>
      </c>
      <c r="G66" s="12">
        <v>27</v>
      </c>
      <c r="H66" s="12">
        <v>4</v>
      </c>
      <c r="I66" s="12">
        <v>13</v>
      </c>
      <c r="J66" s="12">
        <v>8</v>
      </c>
      <c r="K66" s="12">
        <v>14</v>
      </c>
      <c r="L66" s="12">
        <v>13</v>
      </c>
      <c r="M66" s="12">
        <v>16</v>
      </c>
      <c r="N66" s="12">
        <v>25</v>
      </c>
      <c r="O66" s="12">
        <v>15</v>
      </c>
      <c r="P66" s="10"/>
      <c r="Q66" s="10"/>
      <c r="R66" s="10"/>
      <c r="S66" s="14"/>
      <c r="T66" s="14"/>
    </row>
    <row r="67" spans="1:21" x14ac:dyDescent="0.25">
      <c r="A67" s="3" t="s">
        <v>121</v>
      </c>
      <c r="B67" s="4" t="s">
        <v>122</v>
      </c>
      <c r="C67" s="5" t="s">
        <v>28</v>
      </c>
      <c r="D67" s="6">
        <v>0</v>
      </c>
      <c r="E67" s="6">
        <v>0</v>
      </c>
      <c r="F67" s="6">
        <v>40</v>
      </c>
      <c r="G67" s="6">
        <v>0</v>
      </c>
      <c r="H67" s="6">
        <v>0</v>
      </c>
      <c r="I67" s="6">
        <v>40</v>
      </c>
      <c r="J67" s="6">
        <v>0</v>
      </c>
      <c r="K67" s="6">
        <v>0</v>
      </c>
      <c r="L67" s="6">
        <v>0</v>
      </c>
      <c r="M67" s="6">
        <v>20</v>
      </c>
      <c r="N67" s="6">
        <v>0</v>
      </c>
      <c r="O67" s="6">
        <v>0</v>
      </c>
      <c r="P67" s="7">
        <v>0</v>
      </c>
      <c r="Q67" s="7">
        <v>10</v>
      </c>
      <c r="R67" s="7">
        <v>0</v>
      </c>
      <c r="S67" s="13">
        <v>0</v>
      </c>
      <c r="T67" s="15">
        <v>2.72</v>
      </c>
      <c r="U67" s="8">
        <f>IF(S67="",0,S67)*T67</f>
        <v>0</v>
      </c>
    </row>
    <row r="68" spans="1:21" x14ac:dyDescent="0.25">
      <c r="A68" s="9" t="s">
        <v>123</v>
      </c>
      <c r="B68" s="10"/>
      <c r="C68" s="11" t="s">
        <v>30</v>
      </c>
      <c r="D68" s="12">
        <v>13</v>
      </c>
      <c r="E68" s="12">
        <v>18</v>
      </c>
      <c r="F68" s="12">
        <v>12</v>
      </c>
      <c r="G68" s="12">
        <v>17</v>
      </c>
      <c r="H68" s="12">
        <v>4</v>
      </c>
      <c r="I68" s="12">
        <v>9</v>
      </c>
      <c r="J68" s="12">
        <v>6</v>
      </c>
      <c r="K68" s="12">
        <v>10</v>
      </c>
      <c r="L68" s="12">
        <v>12</v>
      </c>
      <c r="M68" s="12">
        <v>10</v>
      </c>
      <c r="N68" s="12">
        <v>11</v>
      </c>
      <c r="O68" s="12">
        <v>4</v>
      </c>
      <c r="P68" s="10"/>
      <c r="Q68" s="10"/>
      <c r="R68" s="10"/>
      <c r="S68" s="14"/>
      <c r="T68" s="14"/>
    </row>
    <row r="69" spans="1:21" x14ac:dyDescent="0.25">
      <c r="A69" s="3" t="s">
        <v>124</v>
      </c>
      <c r="B69" s="4" t="s">
        <v>125</v>
      </c>
      <c r="C69" s="5" t="s">
        <v>28</v>
      </c>
      <c r="D69" s="6">
        <v>20</v>
      </c>
      <c r="E69" s="6">
        <v>20</v>
      </c>
      <c r="F69" s="6">
        <v>20</v>
      </c>
      <c r="G69" s="6">
        <v>40</v>
      </c>
      <c r="H69" s="6">
        <v>20</v>
      </c>
      <c r="I69" s="6">
        <v>0</v>
      </c>
      <c r="J69" s="6">
        <v>20</v>
      </c>
      <c r="K69" s="6">
        <v>0</v>
      </c>
      <c r="L69" s="6">
        <v>22</v>
      </c>
      <c r="M69" s="6">
        <v>20</v>
      </c>
      <c r="N69" s="6">
        <v>40</v>
      </c>
      <c r="O69" s="6">
        <v>0</v>
      </c>
      <c r="P69" s="7">
        <v>0</v>
      </c>
      <c r="Q69" s="7">
        <v>10</v>
      </c>
      <c r="R69" s="7">
        <v>10</v>
      </c>
      <c r="S69" s="13">
        <v>0</v>
      </c>
      <c r="T69" s="15">
        <v>2.64</v>
      </c>
      <c r="U69" s="8">
        <f>IF(S69="",0,S69)*T69</f>
        <v>0</v>
      </c>
    </row>
    <row r="70" spans="1:21" x14ac:dyDescent="0.25">
      <c r="A70" s="9" t="s">
        <v>126</v>
      </c>
      <c r="B70" s="10"/>
      <c r="C70" s="11" t="s">
        <v>30</v>
      </c>
      <c r="D70" s="12">
        <v>11</v>
      </c>
      <c r="E70" s="12">
        <v>24</v>
      </c>
      <c r="F70" s="12">
        <v>39</v>
      </c>
      <c r="G70" s="12">
        <v>19</v>
      </c>
      <c r="H70" s="12">
        <v>19</v>
      </c>
      <c r="I70" s="12">
        <v>13</v>
      </c>
      <c r="J70" s="12">
        <v>13</v>
      </c>
      <c r="K70" s="12">
        <v>14</v>
      </c>
      <c r="L70" s="12">
        <v>27</v>
      </c>
      <c r="M70" s="12">
        <v>16</v>
      </c>
      <c r="N70" s="12">
        <v>15</v>
      </c>
      <c r="O70" s="12">
        <v>20</v>
      </c>
      <c r="P70" s="10"/>
      <c r="Q70" s="10"/>
      <c r="R70" s="10"/>
      <c r="S70" s="14"/>
      <c r="T70" s="14"/>
    </row>
    <row r="71" spans="1:21" x14ac:dyDescent="0.25">
      <c r="A71" s="3" t="s">
        <v>127</v>
      </c>
      <c r="B71" s="4" t="s">
        <v>128</v>
      </c>
      <c r="C71" s="5" t="s">
        <v>28</v>
      </c>
      <c r="D71" s="6">
        <v>0</v>
      </c>
      <c r="E71" s="6">
        <v>0</v>
      </c>
      <c r="F71" s="6">
        <v>0</v>
      </c>
      <c r="G71" s="6">
        <v>12</v>
      </c>
      <c r="H71" s="6">
        <v>0</v>
      </c>
      <c r="I71" s="6">
        <v>0</v>
      </c>
      <c r="J71" s="6">
        <v>12</v>
      </c>
      <c r="K71" s="6">
        <v>0</v>
      </c>
      <c r="L71" s="6">
        <v>0</v>
      </c>
      <c r="M71" s="6">
        <v>0</v>
      </c>
      <c r="N71" s="6">
        <v>12</v>
      </c>
      <c r="O71" s="6">
        <v>0</v>
      </c>
      <c r="P71" s="7">
        <v>0</v>
      </c>
      <c r="Q71" s="7">
        <v>12</v>
      </c>
      <c r="R71" s="7">
        <v>0</v>
      </c>
      <c r="S71" s="13">
        <v>0</v>
      </c>
      <c r="T71" s="15">
        <v>7.2</v>
      </c>
      <c r="U71" s="8">
        <f>IF(S71="",0,S71)*T71</f>
        <v>0</v>
      </c>
    </row>
    <row r="72" spans="1:21" x14ac:dyDescent="0.25">
      <c r="A72" s="9" t="s">
        <v>129</v>
      </c>
      <c r="B72" s="10"/>
      <c r="C72" s="11" t="s">
        <v>30</v>
      </c>
      <c r="D72" s="12">
        <v>4</v>
      </c>
      <c r="E72" s="12">
        <v>1</v>
      </c>
      <c r="F72" s="12">
        <v>4</v>
      </c>
      <c r="G72" s="12">
        <v>5</v>
      </c>
      <c r="H72" s="12">
        <v>2</v>
      </c>
      <c r="I72" s="12">
        <v>1</v>
      </c>
      <c r="J72" s="12">
        <v>1</v>
      </c>
      <c r="K72" s="12">
        <v>5</v>
      </c>
      <c r="L72" s="12">
        <v>4</v>
      </c>
      <c r="M72" s="12">
        <v>4</v>
      </c>
      <c r="N72" s="12">
        <v>6</v>
      </c>
      <c r="O72" s="12">
        <v>6</v>
      </c>
      <c r="P72" s="10"/>
      <c r="Q72" s="10"/>
      <c r="R72" s="10"/>
      <c r="S72" s="14"/>
      <c r="T72" s="14"/>
    </row>
    <row r="73" spans="1:21" x14ac:dyDescent="0.25">
      <c r="A73" s="3" t="s">
        <v>130</v>
      </c>
      <c r="B73" s="4" t="s">
        <v>131</v>
      </c>
      <c r="C73" s="5" t="s">
        <v>28</v>
      </c>
      <c r="D73" s="6">
        <v>0</v>
      </c>
      <c r="E73" s="6">
        <v>12</v>
      </c>
      <c r="F73" s="6">
        <v>12</v>
      </c>
      <c r="G73" s="6">
        <v>0</v>
      </c>
      <c r="H73" s="6">
        <v>12</v>
      </c>
      <c r="I73" s="6">
        <v>12</v>
      </c>
      <c r="J73" s="6">
        <v>0</v>
      </c>
      <c r="K73" s="6">
        <v>12</v>
      </c>
      <c r="L73" s="6">
        <v>12</v>
      </c>
      <c r="M73" s="6">
        <v>24</v>
      </c>
      <c r="N73" s="6">
        <v>24</v>
      </c>
      <c r="O73" s="6">
        <v>0</v>
      </c>
      <c r="P73" s="7">
        <v>8</v>
      </c>
      <c r="Q73" s="7">
        <v>12</v>
      </c>
      <c r="R73" s="7">
        <v>12</v>
      </c>
      <c r="S73" s="13">
        <v>0</v>
      </c>
      <c r="T73" s="15">
        <v>7.2</v>
      </c>
      <c r="U73" s="8">
        <f>IF(S73="",0,S73)*T73</f>
        <v>0</v>
      </c>
    </row>
    <row r="74" spans="1:21" x14ac:dyDescent="0.25">
      <c r="A74" s="9" t="s">
        <v>132</v>
      </c>
      <c r="B74" s="10"/>
      <c r="C74" s="11" t="s">
        <v>30</v>
      </c>
      <c r="D74" s="12">
        <v>5</v>
      </c>
      <c r="E74" s="12">
        <v>8</v>
      </c>
      <c r="F74" s="12">
        <v>8</v>
      </c>
      <c r="G74" s="12">
        <v>6</v>
      </c>
      <c r="H74" s="12">
        <v>9</v>
      </c>
      <c r="I74" s="12">
        <v>4</v>
      </c>
      <c r="J74" s="12">
        <v>13</v>
      </c>
      <c r="K74" s="12">
        <v>12</v>
      </c>
      <c r="L74" s="12">
        <v>14</v>
      </c>
      <c r="M74" s="12">
        <v>12</v>
      </c>
      <c r="N74" s="12">
        <v>12</v>
      </c>
      <c r="O74" s="12">
        <v>9</v>
      </c>
      <c r="P74" s="10"/>
      <c r="Q74" s="10"/>
      <c r="R74" s="10"/>
      <c r="S74" s="14"/>
      <c r="T74" s="14"/>
    </row>
    <row r="75" spans="1:21" x14ac:dyDescent="0.25">
      <c r="A75" s="3" t="s">
        <v>133</v>
      </c>
      <c r="B75" s="4" t="s">
        <v>134</v>
      </c>
      <c r="C75" s="5" t="s">
        <v>28</v>
      </c>
      <c r="D75" s="6">
        <v>0</v>
      </c>
      <c r="E75" s="6">
        <v>12</v>
      </c>
      <c r="F75" s="6">
        <v>0</v>
      </c>
      <c r="G75" s="6">
        <v>0</v>
      </c>
      <c r="H75" s="6">
        <v>12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7">
        <v>3</v>
      </c>
      <c r="Q75" s="7">
        <v>12</v>
      </c>
      <c r="R75" s="7">
        <v>0</v>
      </c>
      <c r="S75" s="13">
        <v>0</v>
      </c>
      <c r="T75" s="15">
        <v>7.25</v>
      </c>
      <c r="U75" s="8">
        <f>IF(S75="",0,S75)*T75</f>
        <v>0</v>
      </c>
    </row>
    <row r="76" spans="1:21" x14ac:dyDescent="0.25">
      <c r="A76" s="9" t="s">
        <v>135</v>
      </c>
      <c r="B76" s="10"/>
      <c r="C76" s="11" t="s">
        <v>30</v>
      </c>
      <c r="D76" s="12">
        <v>0</v>
      </c>
      <c r="E76" s="12">
        <v>5</v>
      </c>
      <c r="F76" s="12">
        <v>6</v>
      </c>
      <c r="G76" s="12">
        <v>0</v>
      </c>
      <c r="H76" s="12">
        <v>0</v>
      </c>
      <c r="I76" s="12">
        <v>0</v>
      </c>
      <c r="J76" s="12">
        <v>3</v>
      </c>
      <c r="K76" s="12">
        <v>1</v>
      </c>
      <c r="L76" s="12">
        <v>3</v>
      </c>
      <c r="M76" s="12">
        <v>0</v>
      </c>
      <c r="N76" s="12">
        <v>0</v>
      </c>
      <c r="O76" s="12">
        <v>3</v>
      </c>
      <c r="P76" s="10"/>
      <c r="Q76" s="10"/>
      <c r="R76" s="10"/>
      <c r="S76" s="14"/>
      <c r="T76" s="14"/>
    </row>
    <row r="77" spans="1:21" x14ac:dyDescent="0.25">
      <c r="A77" s="3" t="s">
        <v>136</v>
      </c>
      <c r="B77" s="4" t="s">
        <v>137</v>
      </c>
      <c r="C77" s="5" t="s">
        <v>28</v>
      </c>
      <c r="D77" s="6">
        <v>0</v>
      </c>
      <c r="E77" s="6">
        <v>40</v>
      </c>
      <c r="F77" s="6">
        <v>40</v>
      </c>
      <c r="G77" s="6">
        <v>40</v>
      </c>
      <c r="H77" s="6">
        <v>40</v>
      </c>
      <c r="I77" s="6">
        <v>0</v>
      </c>
      <c r="J77" s="6">
        <v>40</v>
      </c>
      <c r="K77" s="6">
        <v>40</v>
      </c>
      <c r="L77" s="6">
        <v>40</v>
      </c>
      <c r="M77" s="6">
        <v>40</v>
      </c>
      <c r="N77" s="6">
        <v>40</v>
      </c>
      <c r="O77" s="6">
        <v>40</v>
      </c>
      <c r="P77" s="7">
        <v>1</v>
      </c>
      <c r="Q77" s="7">
        <v>20</v>
      </c>
      <c r="R77" s="7">
        <v>20</v>
      </c>
      <c r="S77" s="13">
        <v>0</v>
      </c>
      <c r="T77" s="15">
        <v>1.1000000000000001</v>
      </c>
      <c r="U77" s="8">
        <f>IF(S77="",0,S77)*T77</f>
        <v>0</v>
      </c>
    </row>
    <row r="78" spans="1:21" x14ac:dyDescent="0.25">
      <c r="A78" s="9" t="s">
        <v>138</v>
      </c>
      <c r="B78" s="10"/>
      <c r="C78" s="11" t="s">
        <v>30</v>
      </c>
      <c r="D78" s="12">
        <v>29</v>
      </c>
      <c r="E78" s="12">
        <v>21</v>
      </c>
      <c r="F78" s="12">
        <v>50</v>
      </c>
      <c r="G78" s="12">
        <v>27</v>
      </c>
      <c r="H78" s="12">
        <v>17</v>
      </c>
      <c r="I78" s="12">
        <v>51</v>
      </c>
      <c r="J78" s="12">
        <v>40</v>
      </c>
      <c r="K78" s="12">
        <v>29</v>
      </c>
      <c r="L78" s="12">
        <v>43</v>
      </c>
      <c r="M78" s="12">
        <v>21</v>
      </c>
      <c r="N78" s="12">
        <v>25</v>
      </c>
      <c r="O78" s="12">
        <v>46</v>
      </c>
      <c r="P78" s="10"/>
      <c r="Q78" s="10"/>
      <c r="R78" s="10"/>
      <c r="S78" s="14"/>
      <c r="T78" s="14"/>
    </row>
    <row r="79" spans="1:21" x14ac:dyDescent="0.25">
      <c r="A79" s="3" t="s">
        <v>139</v>
      </c>
      <c r="B79" s="4" t="s">
        <v>140</v>
      </c>
      <c r="C79" s="5" t="s">
        <v>28</v>
      </c>
      <c r="D79" s="6">
        <v>50</v>
      </c>
      <c r="E79" s="6">
        <v>100</v>
      </c>
      <c r="F79" s="6">
        <v>100</v>
      </c>
      <c r="G79" s="6">
        <v>0</v>
      </c>
      <c r="H79" s="6">
        <v>25</v>
      </c>
      <c r="I79" s="6">
        <v>25</v>
      </c>
      <c r="J79" s="6">
        <v>50</v>
      </c>
      <c r="K79" s="6">
        <v>50</v>
      </c>
      <c r="L79" s="6">
        <v>50</v>
      </c>
      <c r="M79" s="6">
        <v>100</v>
      </c>
      <c r="N79" s="6">
        <v>50</v>
      </c>
      <c r="O79" s="6">
        <v>75</v>
      </c>
      <c r="P79" s="7">
        <v>48</v>
      </c>
      <c r="Q79" s="7">
        <v>96</v>
      </c>
      <c r="R79" s="7">
        <v>0</v>
      </c>
      <c r="S79" s="13">
        <v>0</v>
      </c>
      <c r="T79" s="15">
        <v>0.56999999999999995</v>
      </c>
      <c r="U79" s="8">
        <f>IF(S79="",0,S79)*T79</f>
        <v>0</v>
      </c>
    </row>
    <row r="80" spans="1:21" x14ac:dyDescent="0.25">
      <c r="A80" s="9" t="s">
        <v>141</v>
      </c>
      <c r="B80" s="10"/>
      <c r="C80" s="11" t="s">
        <v>30</v>
      </c>
      <c r="D80" s="12">
        <v>49</v>
      </c>
      <c r="E80" s="12">
        <v>62</v>
      </c>
      <c r="F80" s="12">
        <v>70</v>
      </c>
      <c r="G80" s="12">
        <v>54</v>
      </c>
      <c r="H80" s="12">
        <v>37</v>
      </c>
      <c r="I80" s="12">
        <v>50</v>
      </c>
      <c r="J80" s="12">
        <v>51</v>
      </c>
      <c r="K80" s="12">
        <v>41</v>
      </c>
      <c r="L80" s="12">
        <v>42</v>
      </c>
      <c r="M80" s="12">
        <v>51</v>
      </c>
      <c r="N80" s="12">
        <v>70</v>
      </c>
      <c r="O80" s="12">
        <v>50</v>
      </c>
      <c r="P80" s="10"/>
      <c r="Q80" s="10"/>
      <c r="R80" s="10"/>
      <c r="S80" s="14"/>
      <c r="T80" s="14"/>
    </row>
    <row r="81" spans="1:21" x14ac:dyDescent="0.25">
      <c r="A81" s="3" t="s">
        <v>142</v>
      </c>
      <c r="B81" s="4" t="s">
        <v>143</v>
      </c>
      <c r="C81" s="5" t="s">
        <v>28</v>
      </c>
      <c r="D81" s="6">
        <v>0</v>
      </c>
      <c r="E81" s="6">
        <v>0</v>
      </c>
      <c r="F81" s="6">
        <v>6</v>
      </c>
      <c r="G81" s="6">
        <v>0</v>
      </c>
      <c r="H81" s="6">
        <v>0</v>
      </c>
      <c r="I81" s="6">
        <v>6</v>
      </c>
      <c r="J81" s="6">
        <v>0</v>
      </c>
      <c r="K81" s="6">
        <v>0</v>
      </c>
      <c r="L81" s="6">
        <v>6</v>
      </c>
      <c r="M81" s="6">
        <v>6</v>
      </c>
      <c r="N81" s="6">
        <v>6</v>
      </c>
      <c r="O81" s="6">
        <v>6</v>
      </c>
      <c r="P81" s="7">
        <v>1</v>
      </c>
      <c r="Q81" s="7">
        <v>1</v>
      </c>
      <c r="R81" s="7">
        <v>4</v>
      </c>
      <c r="S81" s="13">
        <v>0</v>
      </c>
      <c r="T81" s="15">
        <v>37.49</v>
      </c>
      <c r="U81" s="8">
        <f>IF(S81="",0,S81)*T81</f>
        <v>0</v>
      </c>
    </row>
    <row r="82" spans="1:21" x14ac:dyDescent="0.25">
      <c r="A82" s="9" t="s">
        <v>144</v>
      </c>
      <c r="B82" s="10"/>
      <c r="C82" s="11" t="s">
        <v>30</v>
      </c>
      <c r="D82" s="12">
        <v>1</v>
      </c>
      <c r="E82" s="12">
        <v>2</v>
      </c>
      <c r="F82" s="12">
        <v>1</v>
      </c>
      <c r="G82" s="12">
        <v>1</v>
      </c>
      <c r="H82" s="12">
        <v>2</v>
      </c>
      <c r="I82" s="12">
        <v>3</v>
      </c>
      <c r="J82" s="12">
        <v>4</v>
      </c>
      <c r="K82" s="12">
        <v>2</v>
      </c>
      <c r="L82" s="12">
        <v>3</v>
      </c>
      <c r="M82" s="12">
        <v>5</v>
      </c>
      <c r="N82" s="12">
        <v>6</v>
      </c>
      <c r="O82" s="12">
        <v>5</v>
      </c>
      <c r="P82" s="10"/>
      <c r="Q82" s="10"/>
      <c r="R82" s="10"/>
      <c r="S82" s="14"/>
      <c r="T82" s="14"/>
    </row>
    <row r="83" spans="1:21" x14ac:dyDescent="0.25">
      <c r="A83" s="3" t="s">
        <v>145</v>
      </c>
      <c r="B83" s="4" t="s">
        <v>146</v>
      </c>
      <c r="C83" s="5" t="s">
        <v>28</v>
      </c>
      <c r="D83" s="6">
        <v>0</v>
      </c>
      <c r="E83" s="6">
        <v>0</v>
      </c>
      <c r="F83" s="6">
        <v>0</v>
      </c>
      <c r="G83" s="6">
        <v>240</v>
      </c>
      <c r="H83" s="6">
        <v>0</v>
      </c>
      <c r="I83" s="6">
        <v>60</v>
      </c>
      <c r="J83" s="6">
        <v>0</v>
      </c>
      <c r="K83" s="6">
        <v>300</v>
      </c>
      <c r="L83" s="6">
        <v>0</v>
      </c>
      <c r="M83" s="6">
        <v>0</v>
      </c>
      <c r="N83" s="6">
        <v>0</v>
      </c>
      <c r="O83" s="6">
        <v>0</v>
      </c>
      <c r="P83" s="7">
        <v>2</v>
      </c>
      <c r="Q83" s="7">
        <v>12</v>
      </c>
      <c r="R83" s="7">
        <v>60</v>
      </c>
      <c r="S83" s="13">
        <v>0</v>
      </c>
      <c r="T83" s="15">
        <v>2.41</v>
      </c>
      <c r="U83" s="8">
        <f>IF(S83="",0,S83)*T83</f>
        <v>0</v>
      </c>
    </row>
    <row r="84" spans="1:21" x14ac:dyDescent="0.25">
      <c r="A84" s="9" t="s">
        <v>147</v>
      </c>
      <c r="B84" s="10"/>
      <c r="C84" s="11" t="s">
        <v>30</v>
      </c>
      <c r="D84" s="12">
        <v>0</v>
      </c>
      <c r="E84" s="12">
        <v>0</v>
      </c>
      <c r="F84" s="12">
        <v>0</v>
      </c>
      <c r="G84" s="12">
        <v>12</v>
      </c>
      <c r="H84" s="12">
        <v>215</v>
      </c>
      <c r="I84" s="12">
        <v>4</v>
      </c>
      <c r="J84" s="12">
        <v>10</v>
      </c>
      <c r="K84" s="12">
        <v>34</v>
      </c>
      <c r="L84" s="12">
        <v>251</v>
      </c>
      <c r="M84" s="12">
        <v>35</v>
      </c>
      <c r="N84" s="12">
        <v>13</v>
      </c>
      <c r="O84" s="12">
        <v>24</v>
      </c>
      <c r="P84" s="10"/>
      <c r="Q84" s="10"/>
      <c r="R84" s="10"/>
      <c r="S84" s="14"/>
      <c r="T84" s="14"/>
    </row>
    <row r="85" spans="1:21" x14ac:dyDescent="0.25">
      <c r="A85" s="3" t="s">
        <v>148</v>
      </c>
      <c r="B85" s="4" t="s">
        <v>149</v>
      </c>
      <c r="C85" s="5" t="s">
        <v>28</v>
      </c>
      <c r="D85" s="6">
        <v>24</v>
      </c>
      <c r="E85" s="6">
        <v>0</v>
      </c>
      <c r="F85" s="6">
        <v>24</v>
      </c>
      <c r="G85" s="6">
        <v>24</v>
      </c>
      <c r="H85" s="6">
        <v>24</v>
      </c>
      <c r="I85" s="6">
        <v>0</v>
      </c>
      <c r="J85" s="6">
        <v>24</v>
      </c>
      <c r="K85" s="6">
        <v>0</v>
      </c>
      <c r="L85" s="6">
        <v>24</v>
      </c>
      <c r="M85" s="6">
        <v>24</v>
      </c>
      <c r="N85" s="6">
        <v>24</v>
      </c>
      <c r="O85" s="6">
        <v>0</v>
      </c>
      <c r="P85" s="7">
        <v>0</v>
      </c>
      <c r="Q85" s="7">
        <v>12</v>
      </c>
      <c r="R85" s="7">
        <v>12</v>
      </c>
      <c r="S85" s="13">
        <v>0</v>
      </c>
      <c r="T85" s="15">
        <v>4.78</v>
      </c>
      <c r="U85" s="8">
        <f>IF(S85="",0,S85)*T85</f>
        <v>0</v>
      </c>
    </row>
    <row r="86" spans="1:21" x14ac:dyDescent="0.25">
      <c r="A86" s="9" t="s">
        <v>150</v>
      </c>
      <c r="B86" s="10"/>
      <c r="C86" s="11" t="s">
        <v>30</v>
      </c>
      <c r="D86" s="12">
        <v>13</v>
      </c>
      <c r="E86" s="12">
        <v>21</v>
      </c>
      <c r="F86" s="12">
        <v>11</v>
      </c>
      <c r="G86" s="12">
        <v>18</v>
      </c>
      <c r="H86" s="12">
        <v>17</v>
      </c>
      <c r="I86" s="12">
        <v>17</v>
      </c>
      <c r="J86" s="12">
        <v>21</v>
      </c>
      <c r="K86" s="12">
        <v>21</v>
      </c>
      <c r="L86" s="12">
        <v>26</v>
      </c>
      <c r="M86" s="12">
        <v>10</v>
      </c>
      <c r="N86" s="12">
        <v>16</v>
      </c>
      <c r="O86" s="12">
        <v>9</v>
      </c>
      <c r="P86" s="10"/>
      <c r="Q86" s="10"/>
      <c r="R86" s="10"/>
      <c r="S86" s="14"/>
      <c r="T86" s="14"/>
    </row>
    <row r="87" spans="1:21" x14ac:dyDescent="0.25">
      <c r="A87" s="3" t="s">
        <v>151</v>
      </c>
      <c r="B87" s="4" t="s">
        <v>152</v>
      </c>
      <c r="C87" s="5" t="s">
        <v>28</v>
      </c>
      <c r="D87" s="6">
        <v>24</v>
      </c>
      <c r="E87" s="6">
        <v>0</v>
      </c>
      <c r="F87" s="6">
        <v>24</v>
      </c>
      <c r="G87" s="6">
        <v>24</v>
      </c>
      <c r="H87" s="6">
        <v>24</v>
      </c>
      <c r="I87" s="6">
        <v>24</v>
      </c>
      <c r="J87" s="6">
        <v>24</v>
      </c>
      <c r="K87" s="6">
        <v>24</v>
      </c>
      <c r="L87" s="6">
        <v>48</v>
      </c>
      <c r="M87" s="6">
        <v>24</v>
      </c>
      <c r="N87" s="6">
        <v>48</v>
      </c>
      <c r="O87" s="6">
        <v>48</v>
      </c>
      <c r="P87" s="7">
        <v>13</v>
      </c>
      <c r="Q87" s="7">
        <v>12</v>
      </c>
      <c r="R87" s="7">
        <v>24</v>
      </c>
      <c r="S87" s="13">
        <v>0</v>
      </c>
      <c r="T87" s="15">
        <v>3.37</v>
      </c>
      <c r="U87" s="8">
        <f>IF(S87="",0,S87)*T87</f>
        <v>0</v>
      </c>
    </row>
    <row r="88" spans="1:21" x14ac:dyDescent="0.25">
      <c r="A88" s="9" t="s">
        <v>153</v>
      </c>
      <c r="B88" s="10"/>
      <c r="C88" s="11" t="s">
        <v>30</v>
      </c>
      <c r="D88" s="12">
        <v>18</v>
      </c>
      <c r="E88" s="12">
        <v>23</v>
      </c>
      <c r="F88" s="12">
        <v>16</v>
      </c>
      <c r="G88" s="12">
        <v>26</v>
      </c>
      <c r="H88" s="12">
        <v>19</v>
      </c>
      <c r="I88" s="12">
        <v>17</v>
      </c>
      <c r="J88" s="12">
        <v>31</v>
      </c>
      <c r="K88" s="12">
        <v>34</v>
      </c>
      <c r="L88" s="12">
        <v>24</v>
      </c>
      <c r="M88" s="12">
        <v>30</v>
      </c>
      <c r="N88" s="12">
        <v>39</v>
      </c>
      <c r="O88" s="12">
        <v>46</v>
      </c>
      <c r="P88" s="10"/>
      <c r="Q88" s="10"/>
      <c r="R88" s="10"/>
      <c r="S88" s="14"/>
      <c r="T88" s="14"/>
    </row>
    <row r="89" spans="1:21" x14ac:dyDescent="0.25">
      <c r="A89" s="3" t="s">
        <v>154</v>
      </c>
      <c r="B89" s="4" t="s">
        <v>155</v>
      </c>
      <c r="C89" s="5" t="s">
        <v>28</v>
      </c>
      <c r="D89" s="6">
        <v>0</v>
      </c>
      <c r="E89" s="6">
        <v>12</v>
      </c>
      <c r="F89" s="6">
        <v>0</v>
      </c>
      <c r="G89" s="6">
        <v>12</v>
      </c>
      <c r="H89" s="6">
        <v>0</v>
      </c>
      <c r="I89" s="6">
        <v>0</v>
      </c>
      <c r="J89" s="6">
        <v>12</v>
      </c>
      <c r="K89" s="6">
        <v>0</v>
      </c>
      <c r="L89" s="6">
        <v>12</v>
      </c>
      <c r="M89" s="6">
        <v>12</v>
      </c>
      <c r="N89" s="6">
        <v>12</v>
      </c>
      <c r="O89" s="6">
        <v>0</v>
      </c>
      <c r="P89" s="7">
        <v>4</v>
      </c>
      <c r="Q89" s="7">
        <v>10</v>
      </c>
      <c r="R89" s="7">
        <v>0</v>
      </c>
      <c r="S89" s="13">
        <v>0</v>
      </c>
      <c r="T89" s="15">
        <v>9.89</v>
      </c>
      <c r="U89" s="8">
        <f>IF(S89="",0,S89)*T89</f>
        <v>0</v>
      </c>
    </row>
    <row r="90" spans="1:21" x14ac:dyDescent="0.25">
      <c r="A90" s="9" t="s">
        <v>156</v>
      </c>
      <c r="B90" s="10"/>
      <c r="C90" s="11" t="s">
        <v>30</v>
      </c>
      <c r="D90" s="12">
        <v>0</v>
      </c>
      <c r="E90" s="12">
        <v>2</v>
      </c>
      <c r="F90" s="12">
        <v>10</v>
      </c>
      <c r="G90" s="12">
        <v>1</v>
      </c>
      <c r="H90" s="12">
        <v>5</v>
      </c>
      <c r="I90" s="12">
        <v>6</v>
      </c>
      <c r="J90" s="12">
        <v>0</v>
      </c>
      <c r="K90" s="12">
        <v>9</v>
      </c>
      <c r="L90" s="12">
        <v>15</v>
      </c>
      <c r="M90" s="12">
        <v>7</v>
      </c>
      <c r="N90" s="12">
        <v>4</v>
      </c>
      <c r="O90" s="12">
        <v>9</v>
      </c>
      <c r="P90" s="10"/>
      <c r="Q90" s="10"/>
      <c r="R90" s="10"/>
      <c r="S90" s="14"/>
      <c r="T90" s="14"/>
    </row>
    <row r="91" spans="1:21" x14ac:dyDescent="0.25">
      <c r="A91" s="3" t="s">
        <v>157</v>
      </c>
      <c r="B91" s="4" t="s">
        <v>158</v>
      </c>
      <c r="C91" s="5" t="s">
        <v>28</v>
      </c>
      <c r="D91" s="6">
        <v>0</v>
      </c>
      <c r="E91" s="6">
        <v>12</v>
      </c>
      <c r="F91" s="6">
        <v>0</v>
      </c>
      <c r="G91" s="6">
        <v>12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7">
        <v>0</v>
      </c>
      <c r="Q91" s="7">
        <v>10</v>
      </c>
      <c r="R91" s="7">
        <v>0</v>
      </c>
      <c r="S91" s="13">
        <v>0</v>
      </c>
      <c r="T91" s="15">
        <v>8.3800000000000008</v>
      </c>
      <c r="U91" s="8">
        <f>IF(S91="",0,S91)*T91</f>
        <v>0</v>
      </c>
    </row>
    <row r="92" spans="1:21" x14ac:dyDescent="0.25">
      <c r="A92" s="9" t="s">
        <v>159</v>
      </c>
      <c r="B92" s="10"/>
      <c r="C92" s="11" t="s">
        <v>30</v>
      </c>
      <c r="D92" s="12">
        <v>8</v>
      </c>
      <c r="E92" s="12">
        <v>13</v>
      </c>
      <c r="F92" s="12">
        <v>0</v>
      </c>
      <c r="G92" s="12">
        <v>0</v>
      </c>
      <c r="H92" s="12">
        <v>6</v>
      </c>
      <c r="I92" s="12">
        <v>2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0"/>
      <c r="Q92" s="10"/>
      <c r="R92" s="10"/>
      <c r="S92" s="14"/>
      <c r="T92" s="14"/>
    </row>
    <row r="93" spans="1:21" x14ac:dyDescent="0.25">
      <c r="A93" s="3" t="s">
        <v>160</v>
      </c>
      <c r="B93" s="4" t="s">
        <v>161</v>
      </c>
      <c r="C93" s="5" t="s">
        <v>28</v>
      </c>
      <c r="D93" s="6">
        <v>0</v>
      </c>
      <c r="E93" s="6">
        <v>0</v>
      </c>
      <c r="F93" s="6">
        <v>50</v>
      </c>
      <c r="G93" s="6">
        <v>0</v>
      </c>
      <c r="H93" s="6">
        <v>0</v>
      </c>
      <c r="I93" s="6">
        <v>50</v>
      </c>
      <c r="J93" s="6">
        <v>0</v>
      </c>
      <c r="K93" s="6">
        <v>0</v>
      </c>
      <c r="L93" s="6">
        <v>0</v>
      </c>
      <c r="M93" s="6">
        <v>50</v>
      </c>
      <c r="N93" s="6">
        <v>0</v>
      </c>
      <c r="O93" s="6">
        <v>0</v>
      </c>
      <c r="P93" s="7">
        <v>0</v>
      </c>
      <c r="Q93" s="7">
        <v>50</v>
      </c>
      <c r="R93" s="7">
        <v>0</v>
      </c>
      <c r="S93" s="13">
        <v>0</v>
      </c>
      <c r="T93" s="15">
        <v>2.39</v>
      </c>
      <c r="U93" s="8">
        <f>IF(S93="",0,S93)*T93</f>
        <v>0</v>
      </c>
    </row>
    <row r="94" spans="1:21" x14ac:dyDescent="0.25">
      <c r="A94" s="9" t="s">
        <v>162</v>
      </c>
      <c r="B94" s="10"/>
      <c r="C94" s="11" t="s">
        <v>30</v>
      </c>
      <c r="D94" s="12">
        <v>16</v>
      </c>
      <c r="E94" s="12">
        <v>0</v>
      </c>
      <c r="F94" s="12">
        <v>1</v>
      </c>
      <c r="G94" s="12">
        <v>13</v>
      </c>
      <c r="H94" s="12">
        <v>7</v>
      </c>
      <c r="I94" s="12">
        <v>34</v>
      </c>
      <c r="J94" s="12">
        <v>23</v>
      </c>
      <c r="K94" s="12">
        <v>20</v>
      </c>
      <c r="L94" s="12">
        <v>1</v>
      </c>
      <c r="M94" s="12">
        <v>11</v>
      </c>
      <c r="N94" s="12">
        <v>16</v>
      </c>
      <c r="O94" s="12">
        <v>8</v>
      </c>
      <c r="P94" s="10"/>
      <c r="Q94" s="10"/>
      <c r="R94" s="10"/>
      <c r="S94" s="14"/>
      <c r="T94" s="14"/>
    </row>
    <row r="95" spans="1:21" x14ac:dyDescent="0.25">
      <c r="A95" s="3" t="s">
        <v>163</v>
      </c>
      <c r="B95" s="4" t="s">
        <v>164</v>
      </c>
      <c r="C95" s="5" t="s">
        <v>28</v>
      </c>
      <c r="D95" s="6">
        <v>50</v>
      </c>
      <c r="E95" s="6">
        <v>100</v>
      </c>
      <c r="F95" s="6">
        <v>100</v>
      </c>
      <c r="G95" s="6">
        <v>100</v>
      </c>
      <c r="H95" s="6">
        <v>0</v>
      </c>
      <c r="I95" s="6">
        <v>50</v>
      </c>
      <c r="J95" s="6">
        <v>50</v>
      </c>
      <c r="K95" s="6">
        <v>0</v>
      </c>
      <c r="L95" s="6">
        <v>100</v>
      </c>
      <c r="M95" s="6">
        <v>100</v>
      </c>
      <c r="N95" s="6">
        <v>50</v>
      </c>
      <c r="O95" s="6">
        <v>50</v>
      </c>
      <c r="P95" s="7">
        <v>0</v>
      </c>
      <c r="Q95" s="7">
        <v>50</v>
      </c>
      <c r="R95" s="7">
        <v>50</v>
      </c>
      <c r="S95" s="13">
        <v>0</v>
      </c>
      <c r="T95" s="15">
        <v>1.4</v>
      </c>
      <c r="U95" s="8">
        <f>IF(S95="",0,S95)*T95</f>
        <v>0</v>
      </c>
    </row>
    <row r="96" spans="1:21" x14ac:dyDescent="0.25">
      <c r="A96" s="9" t="s">
        <v>165</v>
      </c>
      <c r="B96" s="10"/>
      <c r="C96" s="11" t="s">
        <v>30</v>
      </c>
      <c r="D96" s="12">
        <v>48</v>
      </c>
      <c r="E96" s="12">
        <v>58</v>
      </c>
      <c r="F96" s="12">
        <v>206</v>
      </c>
      <c r="G96" s="12">
        <v>52</v>
      </c>
      <c r="H96" s="12">
        <v>26</v>
      </c>
      <c r="I96" s="12">
        <v>42</v>
      </c>
      <c r="J96" s="12">
        <v>13</v>
      </c>
      <c r="K96" s="12">
        <v>76</v>
      </c>
      <c r="L96" s="12">
        <v>79</v>
      </c>
      <c r="M96" s="12">
        <v>58</v>
      </c>
      <c r="N96" s="12">
        <v>74</v>
      </c>
      <c r="O96" s="12">
        <v>44</v>
      </c>
      <c r="P96" s="10"/>
      <c r="Q96" s="10"/>
      <c r="R96" s="10"/>
      <c r="S96" s="14"/>
      <c r="T96" s="14"/>
    </row>
    <row r="97" spans="1:21" x14ac:dyDescent="0.25">
      <c r="A97" s="3" t="s">
        <v>166</v>
      </c>
      <c r="B97" s="4" t="s">
        <v>167</v>
      </c>
      <c r="C97" s="5" t="s">
        <v>28</v>
      </c>
      <c r="D97" s="6">
        <v>0</v>
      </c>
      <c r="E97" s="6">
        <v>50</v>
      </c>
      <c r="F97" s="6">
        <v>0</v>
      </c>
      <c r="G97" s="6">
        <v>50</v>
      </c>
      <c r="H97" s="6">
        <v>0</v>
      </c>
      <c r="I97" s="6">
        <v>50</v>
      </c>
      <c r="J97" s="6">
        <v>-50</v>
      </c>
      <c r="K97" s="6">
        <v>0</v>
      </c>
      <c r="L97" s="6">
        <v>50</v>
      </c>
      <c r="M97" s="6">
        <v>0</v>
      </c>
      <c r="N97" s="6">
        <v>50</v>
      </c>
      <c r="O97" s="6">
        <v>50</v>
      </c>
      <c r="P97" s="7">
        <v>0</v>
      </c>
      <c r="Q97" s="7">
        <v>50</v>
      </c>
      <c r="R97" s="7">
        <v>0</v>
      </c>
      <c r="S97" s="13">
        <v>0</v>
      </c>
      <c r="T97" s="15">
        <v>2.4900000000000002</v>
      </c>
      <c r="U97" s="8">
        <f>IF(S97="",0,S97)*T97</f>
        <v>0</v>
      </c>
    </row>
    <row r="98" spans="1:21" x14ac:dyDescent="0.25">
      <c r="A98" s="9" t="s">
        <v>168</v>
      </c>
      <c r="B98" s="10"/>
      <c r="C98" s="11" t="s">
        <v>30</v>
      </c>
      <c r="D98" s="12">
        <v>12</v>
      </c>
      <c r="E98" s="12">
        <v>36</v>
      </c>
      <c r="F98" s="12">
        <v>70</v>
      </c>
      <c r="G98" s="12">
        <v>4</v>
      </c>
      <c r="H98" s="12">
        <v>44</v>
      </c>
      <c r="I98" s="12">
        <v>0</v>
      </c>
      <c r="J98" s="12">
        <v>0</v>
      </c>
      <c r="K98" s="12">
        <v>0</v>
      </c>
      <c r="L98" s="12">
        <v>6</v>
      </c>
      <c r="M98" s="12">
        <v>27</v>
      </c>
      <c r="N98" s="12">
        <v>36</v>
      </c>
      <c r="O98" s="12">
        <v>30</v>
      </c>
      <c r="P98" s="10"/>
      <c r="Q98" s="10"/>
      <c r="R98" s="10"/>
      <c r="S98" s="14"/>
      <c r="T98" s="14"/>
    </row>
    <row r="99" spans="1:21" x14ac:dyDescent="0.25">
      <c r="A99" s="3" t="s">
        <v>169</v>
      </c>
      <c r="B99" s="4" t="s">
        <v>170</v>
      </c>
      <c r="C99" s="5" t="s">
        <v>28</v>
      </c>
      <c r="D99" s="6">
        <v>0</v>
      </c>
      <c r="E99" s="6">
        <v>0</v>
      </c>
      <c r="F99" s="6">
        <v>0</v>
      </c>
      <c r="G99" s="6">
        <v>0</v>
      </c>
      <c r="H99" s="6">
        <v>360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7">
        <v>36</v>
      </c>
      <c r="Q99" s="7">
        <v>1</v>
      </c>
      <c r="R99" s="7">
        <v>42</v>
      </c>
      <c r="S99" s="13">
        <v>0</v>
      </c>
      <c r="T99" s="15">
        <v>2.99</v>
      </c>
      <c r="U99" s="8">
        <f>IF(S99="",0,S99)*T99</f>
        <v>0</v>
      </c>
    </row>
    <row r="100" spans="1:21" x14ac:dyDescent="0.25">
      <c r="A100" s="9" t="s">
        <v>171</v>
      </c>
      <c r="B100" s="10"/>
      <c r="C100" s="11" t="s">
        <v>30</v>
      </c>
      <c r="D100" s="12">
        <v>0</v>
      </c>
      <c r="E100" s="12">
        <v>0</v>
      </c>
      <c r="F100" s="12">
        <v>0</v>
      </c>
      <c r="G100" s="12">
        <v>0</v>
      </c>
      <c r="H100" s="12">
        <v>50</v>
      </c>
      <c r="I100" s="12">
        <v>21</v>
      </c>
      <c r="J100" s="12">
        <v>253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0"/>
      <c r="Q100" s="10"/>
      <c r="R100" s="10"/>
      <c r="S100" s="14"/>
      <c r="T100" s="14"/>
    </row>
    <row r="101" spans="1:21" x14ac:dyDescent="0.25">
      <c r="A101" s="3" t="s">
        <v>172</v>
      </c>
      <c r="B101" s="4" t="s">
        <v>173</v>
      </c>
      <c r="C101" s="5" t="s">
        <v>28</v>
      </c>
      <c r="D101" s="6">
        <v>0</v>
      </c>
      <c r="E101" s="6">
        <v>24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24</v>
      </c>
      <c r="L101" s="6">
        <v>0</v>
      </c>
      <c r="M101" s="6">
        <v>0</v>
      </c>
      <c r="N101" s="6">
        <v>0</v>
      </c>
      <c r="O101" s="6">
        <v>0</v>
      </c>
      <c r="P101" s="7">
        <v>11</v>
      </c>
      <c r="Q101" s="7">
        <v>24</v>
      </c>
      <c r="R101" s="7">
        <v>0</v>
      </c>
      <c r="S101" s="13">
        <v>0</v>
      </c>
      <c r="T101" s="15">
        <v>3.49</v>
      </c>
      <c r="U101" s="8">
        <f>IF(S101="",0,S101)*T101</f>
        <v>0</v>
      </c>
    </row>
    <row r="102" spans="1:21" x14ac:dyDescent="0.25">
      <c r="A102" s="9" t="s">
        <v>174</v>
      </c>
      <c r="B102" s="10"/>
      <c r="C102" s="11" t="s">
        <v>30</v>
      </c>
      <c r="D102" s="12">
        <v>0</v>
      </c>
      <c r="E102" s="12">
        <v>0</v>
      </c>
      <c r="F102" s="12">
        <v>6</v>
      </c>
      <c r="G102" s="12">
        <v>4</v>
      </c>
      <c r="H102" s="12">
        <v>1</v>
      </c>
      <c r="I102" s="12">
        <v>0</v>
      </c>
      <c r="J102" s="12">
        <v>5</v>
      </c>
      <c r="K102" s="12">
        <v>0</v>
      </c>
      <c r="L102" s="12">
        <v>15</v>
      </c>
      <c r="M102" s="12">
        <v>4</v>
      </c>
      <c r="N102" s="12">
        <v>2</v>
      </c>
      <c r="O102" s="12">
        <v>0</v>
      </c>
      <c r="P102" s="10"/>
      <c r="Q102" s="10"/>
      <c r="R102" s="10"/>
      <c r="S102" s="14"/>
      <c r="T102" s="14"/>
    </row>
    <row r="103" spans="1:21" x14ac:dyDescent="0.25">
      <c r="A103" s="3" t="s">
        <v>175</v>
      </c>
      <c r="B103" s="4" t="s">
        <v>176</v>
      </c>
      <c r="C103" s="5" t="s">
        <v>28</v>
      </c>
      <c r="D103" s="6">
        <v>144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48</v>
      </c>
      <c r="L103" s="6">
        <v>0</v>
      </c>
      <c r="M103" s="6">
        <v>0</v>
      </c>
      <c r="N103" s="6">
        <v>0</v>
      </c>
      <c r="O103" s="6">
        <v>0</v>
      </c>
      <c r="P103" s="7">
        <v>17</v>
      </c>
      <c r="Q103" s="7">
        <v>24</v>
      </c>
      <c r="R103" s="7">
        <v>0</v>
      </c>
      <c r="S103" s="13">
        <v>0</v>
      </c>
      <c r="T103" s="15">
        <v>5.22</v>
      </c>
      <c r="U103" s="8">
        <f>IF(S103="",0,S103)*T103</f>
        <v>0</v>
      </c>
    </row>
    <row r="104" spans="1:21" x14ac:dyDescent="0.25">
      <c r="A104" s="9" t="s">
        <v>177</v>
      </c>
      <c r="B104" s="10"/>
      <c r="C104" s="11" t="s">
        <v>30</v>
      </c>
      <c r="D104" s="12">
        <v>37</v>
      </c>
      <c r="E104" s="12">
        <v>7</v>
      </c>
      <c r="F104" s="12">
        <v>82</v>
      </c>
      <c r="G104" s="12">
        <v>4</v>
      </c>
      <c r="H104" s="12">
        <v>1</v>
      </c>
      <c r="I104" s="12">
        <v>7</v>
      </c>
      <c r="J104" s="12">
        <v>6</v>
      </c>
      <c r="K104" s="12">
        <v>11</v>
      </c>
      <c r="L104" s="12">
        <v>2</v>
      </c>
      <c r="M104" s="12">
        <v>12</v>
      </c>
      <c r="N104" s="12">
        <v>2</v>
      </c>
      <c r="O104" s="12">
        <v>4</v>
      </c>
      <c r="P104" s="10"/>
      <c r="Q104" s="10"/>
      <c r="R104" s="10"/>
      <c r="S104" s="14"/>
      <c r="T104" s="14"/>
    </row>
    <row r="105" spans="1:21" x14ac:dyDescent="0.25">
      <c r="A105" s="3" t="s">
        <v>178</v>
      </c>
      <c r="B105" s="4" t="s">
        <v>179</v>
      </c>
      <c r="C105" s="5" t="s">
        <v>28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240</v>
      </c>
      <c r="L105" s="6">
        <v>0</v>
      </c>
      <c r="M105" s="6">
        <v>0</v>
      </c>
      <c r="N105" s="6">
        <v>0</v>
      </c>
      <c r="O105" s="6">
        <v>0</v>
      </c>
      <c r="P105" s="7">
        <v>79</v>
      </c>
      <c r="Q105" s="7">
        <v>24</v>
      </c>
      <c r="R105" s="7">
        <v>24</v>
      </c>
      <c r="S105" s="13">
        <v>0</v>
      </c>
      <c r="T105" s="15">
        <v>5.25</v>
      </c>
      <c r="U105" s="8">
        <f>IF(S105="",0,S105)*T105</f>
        <v>0</v>
      </c>
    </row>
    <row r="106" spans="1:21" x14ac:dyDescent="0.25">
      <c r="A106" s="9" t="s">
        <v>180</v>
      </c>
      <c r="B106" s="10"/>
      <c r="C106" s="11" t="s">
        <v>30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36</v>
      </c>
      <c r="L106" s="12">
        <v>5</v>
      </c>
      <c r="M106" s="12">
        <v>37</v>
      </c>
      <c r="N106" s="12">
        <v>77</v>
      </c>
      <c r="O106" s="12">
        <v>6</v>
      </c>
      <c r="P106" s="10"/>
      <c r="Q106" s="10"/>
      <c r="R106" s="10"/>
      <c r="S106" s="14"/>
      <c r="T106" s="14"/>
    </row>
    <row r="107" spans="1:21" x14ac:dyDescent="0.25">
      <c r="A107" s="3" t="s">
        <v>181</v>
      </c>
      <c r="B107" s="4" t="s">
        <v>182</v>
      </c>
      <c r="C107" s="5" t="s">
        <v>28</v>
      </c>
      <c r="D107" s="6">
        <v>0</v>
      </c>
      <c r="E107" s="6">
        <v>50</v>
      </c>
      <c r="F107" s="6">
        <v>0</v>
      </c>
      <c r="G107" s="6">
        <v>0</v>
      </c>
      <c r="H107" s="6">
        <v>50</v>
      </c>
      <c r="I107" s="6">
        <v>0</v>
      </c>
      <c r="J107" s="6">
        <v>0</v>
      </c>
      <c r="K107" s="6">
        <v>0</v>
      </c>
      <c r="L107" s="6">
        <v>100</v>
      </c>
      <c r="M107" s="6">
        <v>50</v>
      </c>
      <c r="N107" s="6">
        <v>50</v>
      </c>
      <c r="O107" s="6">
        <v>0</v>
      </c>
      <c r="P107" s="7">
        <v>0</v>
      </c>
      <c r="Q107" s="7">
        <v>50</v>
      </c>
      <c r="R107" s="7">
        <v>0</v>
      </c>
      <c r="S107" s="13">
        <v>0</v>
      </c>
      <c r="T107" s="15">
        <v>1.81</v>
      </c>
      <c r="U107" s="8">
        <f>IF(S107="",0,S107)*T107</f>
        <v>0</v>
      </c>
    </row>
    <row r="108" spans="1:21" x14ac:dyDescent="0.25">
      <c r="A108" s="9" t="s">
        <v>183</v>
      </c>
      <c r="B108" s="10"/>
      <c r="C108" s="11" t="s">
        <v>30</v>
      </c>
      <c r="D108" s="12">
        <v>62</v>
      </c>
      <c r="E108" s="12">
        <v>47</v>
      </c>
      <c r="F108" s="12">
        <v>43</v>
      </c>
      <c r="G108" s="12">
        <v>81</v>
      </c>
      <c r="H108" s="12">
        <v>2</v>
      </c>
      <c r="I108" s="12">
        <v>0</v>
      </c>
      <c r="J108" s="12">
        <v>24</v>
      </c>
      <c r="K108" s="12">
        <v>26</v>
      </c>
      <c r="L108" s="12">
        <v>57</v>
      </c>
      <c r="M108" s="12">
        <v>38</v>
      </c>
      <c r="N108" s="12">
        <v>56</v>
      </c>
      <c r="O108" s="12">
        <v>0</v>
      </c>
      <c r="P108" s="10"/>
      <c r="Q108" s="10"/>
      <c r="R108" s="10"/>
      <c r="S108" s="14"/>
      <c r="T108" s="14"/>
    </row>
    <row r="109" spans="1:21" x14ac:dyDescent="0.25">
      <c r="A109" s="3" t="s">
        <v>184</v>
      </c>
      <c r="B109" s="4" t="s">
        <v>185</v>
      </c>
      <c r="C109" s="5" t="s">
        <v>28</v>
      </c>
      <c r="D109" s="6">
        <v>0</v>
      </c>
      <c r="E109" s="6">
        <v>0</v>
      </c>
      <c r="F109" s="6">
        <v>0</v>
      </c>
      <c r="G109" s="6">
        <v>0</v>
      </c>
      <c r="H109" s="6">
        <v>50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7">
        <v>17</v>
      </c>
      <c r="Q109" s="7">
        <v>40</v>
      </c>
      <c r="R109" s="7">
        <v>0</v>
      </c>
      <c r="S109" s="13">
        <v>0</v>
      </c>
      <c r="T109" s="15">
        <v>3.07</v>
      </c>
      <c r="U109" s="8">
        <f>IF(S109="",0,S109)*T109</f>
        <v>0</v>
      </c>
    </row>
    <row r="110" spans="1:21" x14ac:dyDescent="0.25">
      <c r="A110" s="9" t="s">
        <v>186</v>
      </c>
      <c r="B110" s="10"/>
      <c r="C110" s="11" t="s">
        <v>30</v>
      </c>
      <c r="D110" s="12">
        <v>0</v>
      </c>
      <c r="E110" s="12">
        <v>0</v>
      </c>
      <c r="F110" s="12">
        <v>0</v>
      </c>
      <c r="G110" s="12">
        <v>0</v>
      </c>
      <c r="H110" s="12">
        <v>2</v>
      </c>
      <c r="I110" s="12">
        <v>7</v>
      </c>
      <c r="J110" s="12">
        <v>7</v>
      </c>
      <c r="K110" s="12">
        <v>3</v>
      </c>
      <c r="L110" s="12">
        <v>1</v>
      </c>
      <c r="M110" s="12">
        <v>0</v>
      </c>
      <c r="N110" s="12">
        <v>9</v>
      </c>
      <c r="O110" s="12">
        <v>4</v>
      </c>
      <c r="P110" s="10"/>
      <c r="Q110" s="10"/>
      <c r="R110" s="10"/>
      <c r="S110" s="14"/>
      <c r="T110" s="14"/>
    </row>
    <row r="111" spans="1:21" x14ac:dyDescent="0.25">
      <c r="A111" s="3" t="s">
        <v>187</v>
      </c>
      <c r="B111" s="4" t="s">
        <v>188</v>
      </c>
      <c r="C111" s="5" t="s">
        <v>28</v>
      </c>
      <c r="D111" s="6">
        <v>0</v>
      </c>
      <c r="E111" s="6">
        <v>0</v>
      </c>
      <c r="F111" s="6">
        <v>0</v>
      </c>
      <c r="G111" s="6">
        <v>12</v>
      </c>
      <c r="H111" s="6">
        <v>0</v>
      </c>
      <c r="I111" s="6">
        <v>12</v>
      </c>
      <c r="J111" s="6">
        <v>0</v>
      </c>
      <c r="K111" s="6">
        <v>0</v>
      </c>
      <c r="L111" s="6">
        <v>0</v>
      </c>
      <c r="M111" s="6">
        <v>6</v>
      </c>
      <c r="N111" s="6">
        <v>0</v>
      </c>
      <c r="O111" s="6">
        <v>0</v>
      </c>
      <c r="P111" s="7">
        <v>0</v>
      </c>
      <c r="Q111" s="7">
        <v>1</v>
      </c>
      <c r="R111" s="7">
        <v>2</v>
      </c>
      <c r="S111" s="13">
        <v>0</v>
      </c>
      <c r="T111" s="15">
        <v>27.4</v>
      </c>
      <c r="U111" s="8">
        <f>IF(S111="",0,S111)*T111</f>
        <v>0</v>
      </c>
    </row>
    <row r="112" spans="1:21" x14ac:dyDescent="0.25">
      <c r="A112" s="9" t="s">
        <v>189</v>
      </c>
      <c r="B112" s="10"/>
      <c r="C112" s="11" t="s">
        <v>30</v>
      </c>
      <c r="D112" s="12">
        <v>1</v>
      </c>
      <c r="E112" s="12">
        <v>3</v>
      </c>
      <c r="F112" s="12">
        <v>3</v>
      </c>
      <c r="G112" s="12">
        <v>1</v>
      </c>
      <c r="H112" s="12">
        <v>8</v>
      </c>
      <c r="I112" s="12">
        <v>3</v>
      </c>
      <c r="J112" s="12">
        <v>5</v>
      </c>
      <c r="K112" s="12">
        <v>4</v>
      </c>
      <c r="L112" s="12">
        <v>0</v>
      </c>
      <c r="M112" s="12">
        <v>1</v>
      </c>
      <c r="N112" s="12">
        <v>2</v>
      </c>
      <c r="O112" s="12">
        <v>2</v>
      </c>
      <c r="P112" s="10"/>
      <c r="Q112" s="10"/>
      <c r="R112" s="10"/>
      <c r="S112" s="14"/>
      <c r="T112" s="14"/>
    </row>
    <row r="113" spans="1:21" x14ac:dyDescent="0.25">
      <c r="A113" s="3" t="s">
        <v>190</v>
      </c>
      <c r="B113" s="4" t="s">
        <v>191</v>
      </c>
      <c r="C113" s="5" t="s">
        <v>28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25</v>
      </c>
      <c r="M113" s="6">
        <v>0</v>
      </c>
      <c r="N113" s="6">
        <v>0</v>
      </c>
      <c r="O113" s="6">
        <v>0</v>
      </c>
      <c r="P113" s="7">
        <v>5</v>
      </c>
      <c r="Q113" s="7">
        <v>1</v>
      </c>
      <c r="R113" s="7">
        <v>3</v>
      </c>
      <c r="S113" s="13">
        <v>0</v>
      </c>
      <c r="T113" s="15">
        <v>7.32</v>
      </c>
      <c r="U113" s="8">
        <f>IF(S113="",0,S113)*T113</f>
        <v>0</v>
      </c>
    </row>
    <row r="114" spans="1:21" x14ac:dyDescent="0.25">
      <c r="A114" s="9" t="s">
        <v>192</v>
      </c>
      <c r="B114" s="10"/>
      <c r="C114" s="11" t="s">
        <v>30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2</v>
      </c>
      <c r="M114" s="12">
        <v>6</v>
      </c>
      <c r="N114" s="12">
        <v>6</v>
      </c>
      <c r="O114" s="12">
        <v>6</v>
      </c>
      <c r="P114" s="10"/>
      <c r="Q114" s="10"/>
      <c r="R114" s="10"/>
      <c r="S114" s="14"/>
      <c r="T114" s="14"/>
    </row>
    <row r="115" spans="1:21" x14ac:dyDescent="0.25">
      <c r="A115" s="3" t="s">
        <v>193</v>
      </c>
      <c r="B115" s="4" t="s">
        <v>194</v>
      </c>
      <c r="C115" s="5" t="s">
        <v>28</v>
      </c>
      <c r="D115" s="6">
        <v>0</v>
      </c>
      <c r="E115" s="6">
        <v>0</v>
      </c>
      <c r="F115" s="6">
        <v>0</v>
      </c>
      <c r="G115" s="6">
        <v>0</v>
      </c>
      <c r="H115" s="6">
        <v>50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7">
        <v>0</v>
      </c>
      <c r="Q115" s="7">
        <v>25</v>
      </c>
      <c r="R115" s="7">
        <v>0</v>
      </c>
      <c r="S115" s="13">
        <v>0</v>
      </c>
      <c r="T115" s="15">
        <v>5.07</v>
      </c>
      <c r="U115" s="8">
        <f>IF(S115="",0,S115)*T115</f>
        <v>0</v>
      </c>
    </row>
    <row r="116" spans="1:21" x14ac:dyDescent="0.25">
      <c r="A116" s="9" t="s">
        <v>195</v>
      </c>
      <c r="B116" s="10"/>
      <c r="C116" s="11" t="s">
        <v>30</v>
      </c>
      <c r="D116" s="12">
        <v>21</v>
      </c>
      <c r="E116" s="12">
        <v>10</v>
      </c>
      <c r="F116" s="12">
        <v>0</v>
      </c>
      <c r="G116" s="12">
        <v>0</v>
      </c>
      <c r="H116" s="12">
        <v>0</v>
      </c>
      <c r="I116" s="12">
        <v>24</v>
      </c>
      <c r="J116" s="12">
        <v>10</v>
      </c>
      <c r="K116" s="12">
        <v>1</v>
      </c>
      <c r="L116" s="12">
        <v>0</v>
      </c>
      <c r="M116" s="12">
        <v>0</v>
      </c>
      <c r="N116" s="12">
        <v>0</v>
      </c>
      <c r="O116" s="12">
        <v>0</v>
      </c>
      <c r="P116" s="10"/>
      <c r="Q116" s="10"/>
      <c r="R116" s="10"/>
      <c r="S116" s="14"/>
      <c r="T116" s="14"/>
    </row>
    <row r="117" spans="1:21" x14ac:dyDescent="0.25">
      <c r="A117" s="3" t="s">
        <v>196</v>
      </c>
      <c r="B117" s="4" t="s">
        <v>197</v>
      </c>
      <c r="C117" s="5" t="s">
        <v>28</v>
      </c>
      <c r="D117" s="6">
        <v>0</v>
      </c>
      <c r="E117" s="6">
        <v>25</v>
      </c>
      <c r="F117" s="6">
        <v>0</v>
      </c>
      <c r="G117" s="6">
        <v>0</v>
      </c>
      <c r="H117" s="6">
        <v>0</v>
      </c>
      <c r="I117" s="6">
        <v>25</v>
      </c>
      <c r="J117" s="6">
        <v>0</v>
      </c>
      <c r="K117" s="6">
        <v>0</v>
      </c>
      <c r="L117" s="6">
        <v>25</v>
      </c>
      <c r="M117" s="6">
        <v>0</v>
      </c>
      <c r="N117" s="6">
        <v>0</v>
      </c>
      <c r="O117" s="6">
        <v>0</v>
      </c>
      <c r="P117" s="7">
        <v>2</v>
      </c>
      <c r="Q117" s="7">
        <v>25</v>
      </c>
      <c r="R117" s="7">
        <v>0</v>
      </c>
      <c r="S117" s="13">
        <v>0</v>
      </c>
      <c r="T117" s="15">
        <v>4.1900000000000004</v>
      </c>
      <c r="U117" s="8">
        <f>IF(S117="",0,S117)*T117</f>
        <v>0</v>
      </c>
    </row>
    <row r="118" spans="1:21" x14ac:dyDescent="0.25">
      <c r="A118" s="9" t="s">
        <v>198</v>
      </c>
      <c r="B118" s="10"/>
      <c r="C118" s="11" t="s">
        <v>30</v>
      </c>
      <c r="D118" s="12">
        <v>2</v>
      </c>
      <c r="E118" s="12">
        <v>8</v>
      </c>
      <c r="F118" s="12">
        <v>7</v>
      </c>
      <c r="G118" s="12">
        <v>1</v>
      </c>
      <c r="H118" s="12">
        <v>10</v>
      </c>
      <c r="I118" s="12">
        <v>10</v>
      </c>
      <c r="J118" s="12">
        <v>2</v>
      </c>
      <c r="K118" s="12">
        <v>7</v>
      </c>
      <c r="L118" s="12">
        <v>7</v>
      </c>
      <c r="M118" s="12">
        <v>8</v>
      </c>
      <c r="N118" s="12">
        <v>6</v>
      </c>
      <c r="O118" s="12">
        <v>5</v>
      </c>
      <c r="P118" s="10"/>
      <c r="Q118" s="10"/>
      <c r="R118" s="10"/>
      <c r="S118" s="14"/>
      <c r="T118" s="14"/>
    </row>
    <row r="119" spans="1:21" x14ac:dyDescent="0.25">
      <c r="A119" s="3" t="s">
        <v>199</v>
      </c>
      <c r="B119" s="4" t="s">
        <v>200</v>
      </c>
      <c r="C119" s="5" t="s">
        <v>28</v>
      </c>
      <c r="D119" s="6">
        <v>0</v>
      </c>
      <c r="E119" s="6">
        <v>25</v>
      </c>
      <c r="F119" s="6">
        <v>0</v>
      </c>
      <c r="G119" s="6">
        <v>0</v>
      </c>
      <c r="H119" s="6">
        <v>0</v>
      </c>
      <c r="I119" s="6">
        <v>0</v>
      </c>
      <c r="J119" s="6">
        <v>25</v>
      </c>
      <c r="K119" s="6">
        <v>0</v>
      </c>
      <c r="L119" s="6">
        <v>25</v>
      </c>
      <c r="M119" s="6">
        <v>0</v>
      </c>
      <c r="N119" s="6">
        <v>0</v>
      </c>
      <c r="O119" s="6">
        <v>0</v>
      </c>
      <c r="P119" s="7">
        <v>0</v>
      </c>
      <c r="Q119" s="7">
        <v>25</v>
      </c>
      <c r="R119" s="7">
        <v>0</v>
      </c>
      <c r="S119" s="13">
        <v>0</v>
      </c>
      <c r="T119" s="15">
        <v>6.95</v>
      </c>
      <c r="U119" s="8">
        <f>IF(S119="",0,S119)*T119</f>
        <v>0</v>
      </c>
    </row>
    <row r="120" spans="1:21" x14ac:dyDescent="0.25">
      <c r="A120" s="9" t="s">
        <v>201</v>
      </c>
      <c r="B120" s="10"/>
      <c r="C120" s="11" t="s">
        <v>30</v>
      </c>
      <c r="D120" s="12">
        <v>4</v>
      </c>
      <c r="E120" s="12">
        <v>15</v>
      </c>
      <c r="F120" s="12">
        <v>9</v>
      </c>
      <c r="G120" s="12">
        <v>4</v>
      </c>
      <c r="H120" s="12">
        <v>0</v>
      </c>
      <c r="I120" s="12">
        <v>0</v>
      </c>
      <c r="J120" s="12">
        <v>12</v>
      </c>
      <c r="K120" s="12">
        <v>10</v>
      </c>
      <c r="L120" s="12">
        <v>11</v>
      </c>
      <c r="M120" s="12">
        <v>3</v>
      </c>
      <c r="N120" s="12">
        <v>7</v>
      </c>
      <c r="O120" s="12">
        <v>3</v>
      </c>
      <c r="P120" s="10"/>
      <c r="Q120" s="10"/>
      <c r="R120" s="10"/>
      <c r="S120" s="14"/>
      <c r="T120" s="14"/>
    </row>
    <row r="121" spans="1:21" x14ac:dyDescent="0.25">
      <c r="A121" s="3" t="s">
        <v>202</v>
      </c>
      <c r="B121" s="4" t="s">
        <v>203</v>
      </c>
      <c r="C121" s="5" t="s">
        <v>28</v>
      </c>
      <c r="D121" s="6">
        <v>0</v>
      </c>
      <c r="E121" s="6">
        <v>0</v>
      </c>
      <c r="F121" s="6">
        <v>0</v>
      </c>
      <c r="G121" s="6">
        <v>12</v>
      </c>
      <c r="H121" s="6">
        <v>0</v>
      </c>
      <c r="I121" s="6">
        <v>0</v>
      </c>
      <c r="J121" s="6">
        <v>0</v>
      </c>
      <c r="K121" s="6">
        <v>0</v>
      </c>
      <c r="L121" s="6">
        <v>12</v>
      </c>
      <c r="M121" s="6">
        <v>0</v>
      </c>
      <c r="N121" s="6">
        <v>0</v>
      </c>
      <c r="O121" s="6">
        <v>0</v>
      </c>
      <c r="P121" s="7">
        <v>0</v>
      </c>
      <c r="Q121" s="7">
        <v>12</v>
      </c>
      <c r="R121" s="7">
        <v>0</v>
      </c>
      <c r="S121" s="13">
        <v>0</v>
      </c>
      <c r="T121" s="15">
        <v>9.8000000000000007</v>
      </c>
      <c r="U121" s="8">
        <f>IF(S121="",0,S121)*T121</f>
        <v>0</v>
      </c>
    </row>
    <row r="122" spans="1:21" x14ac:dyDescent="0.25">
      <c r="A122" s="9" t="s">
        <v>204</v>
      </c>
      <c r="B122" s="10"/>
      <c r="C122" s="11" t="s">
        <v>30</v>
      </c>
      <c r="D122" s="12">
        <v>2</v>
      </c>
      <c r="E122" s="12">
        <v>2</v>
      </c>
      <c r="F122" s="12">
        <v>3</v>
      </c>
      <c r="G122" s="12">
        <v>2</v>
      </c>
      <c r="H122" s="12">
        <v>2</v>
      </c>
      <c r="I122" s="12">
        <v>0</v>
      </c>
      <c r="J122" s="12">
        <v>2</v>
      </c>
      <c r="K122" s="12">
        <v>2</v>
      </c>
      <c r="L122" s="12">
        <v>1</v>
      </c>
      <c r="M122" s="12">
        <v>4</v>
      </c>
      <c r="N122" s="12">
        <v>4</v>
      </c>
      <c r="O122" s="12">
        <v>1</v>
      </c>
      <c r="P122" s="10"/>
      <c r="Q122" s="10"/>
      <c r="R122" s="10"/>
      <c r="S122" s="14"/>
      <c r="T122" s="14"/>
    </row>
    <row r="123" spans="1:21" x14ac:dyDescent="0.25">
      <c r="A123" s="3" t="s">
        <v>205</v>
      </c>
      <c r="B123" s="4" t="s">
        <v>206</v>
      </c>
      <c r="C123" s="5" t="s">
        <v>28</v>
      </c>
      <c r="D123" s="6">
        <v>0</v>
      </c>
      <c r="E123" s="6">
        <v>0</v>
      </c>
      <c r="F123" s="6">
        <v>72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7">
        <v>0</v>
      </c>
      <c r="Q123" s="7">
        <v>24</v>
      </c>
      <c r="R123" s="7">
        <v>0</v>
      </c>
      <c r="S123" s="13">
        <v>0</v>
      </c>
      <c r="T123" s="15">
        <v>3.8</v>
      </c>
      <c r="U123" s="8">
        <f>IF(S123="",0,S123)*T123</f>
        <v>0</v>
      </c>
    </row>
    <row r="124" spans="1:21" x14ac:dyDescent="0.25">
      <c r="A124" s="9" t="s">
        <v>207</v>
      </c>
      <c r="B124" s="10"/>
      <c r="C124" s="11" t="s">
        <v>30</v>
      </c>
      <c r="D124" s="12">
        <v>0</v>
      </c>
      <c r="E124" s="12">
        <v>3</v>
      </c>
      <c r="F124" s="12">
        <v>15</v>
      </c>
      <c r="G124" s="12">
        <v>0</v>
      </c>
      <c r="H124" s="12">
        <v>0</v>
      </c>
      <c r="I124" s="12">
        <v>4</v>
      </c>
      <c r="J124" s="12">
        <v>11</v>
      </c>
      <c r="K124" s="12">
        <v>4</v>
      </c>
      <c r="L124" s="12">
        <v>3</v>
      </c>
      <c r="M124" s="12">
        <v>4</v>
      </c>
      <c r="N124" s="12">
        <v>17</v>
      </c>
      <c r="O124" s="12">
        <v>11</v>
      </c>
      <c r="P124" s="10"/>
      <c r="Q124" s="10"/>
      <c r="R124" s="10"/>
      <c r="S124" s="14"/>
      <c r="T124" s="14"/>
    </row>
    <row r="125" spans="1:21" x14ac:dyDescent="0.25">
      <c r="A125" s="3" t="s">
        <v>208</v>
      </c>
      <c r="B125" s="4" t="s">
        <v>209</v>
      </c>
      <c r="C125" s="5" t="s">
        <v>28</v>
      </c>
      <c r="D125" s="6">
        <v>0</v>
      </c>
      <c r="E125" s="6">
        <v>0</v>
      </c>
      <c r="F125" s="6">
        <v>0</v>
      </c>
      <c r="G125" s="6">
        <v>0</v>
      </c>
      <c r="H125" s="6">
        <v>12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7">
        <v>0</v>
      </c>
      <c r="Q125" s="7">
        <v>12</v>
      </c>
      <c r="R125" s="7">
        <v>0</v>
      </c>
      <c r="S125" s="13">
        <v>0</v>
      </c>
      <c r="T125" s="15">
        <v>4.66</v>
      </c>
      <c r="U125" s="8">
        <f>IF(S125="",0,S125)*T125</f>
        <v>0</v>
      </c>
    </row>
    <row r="126" spans="1:21" x14ac:dyDescent="0.25">
      <c r="A126" s="9" t="s">
        <v>210</v>
      </c>
      <c r="B126" s="10"/>
      <c r="C126" s="11" t="s">
        <v>30</v>
      </c>
      <c r="D126" s="12">
        <v>1</v>
      </c>
      <c r="E126" s="12">
        <v>1</v>
      </c>
      <c r="F126" s="12">
        <v>1</v>
      </c>
      <c r="G126" s="12">
        <v>1</v>
      </c>
      <c r="H126" s="12">
        <v>0</v>
      </c>
      <c r="I126" s="12">
        <v>1</v>
      </c>
      <c r="J126" s="12">
        <v>0</v>
      </c>
      <c r="K126" s="12">
        <v>0</v>
      </c>
      <c r="L126" s="12">
        <v>0</v>
      </c>
      <c r="M126" s="12">
        <v>5</v>
      </c>
      <c r="N126" s="12">
        <v>2</v>
      </c>
      <c r="O126" s="12">
        <v>2</v>
      </c>
      <c r="P126" s="10"/>
      <c r="Q126" s="10"/>
      <c r="R126" s="10"/>
      <c r="S126" s="14"/>
      <c r="T126" s="14"/>
    </row>
    <row r="127" spans="1:21" x14ac:dyDescent="0.25">
      <c r="A127" s="3" t="s">
        <v>211</v>
      </c>
      <c r="B127" s="4" t="s">
        <v>212</v>
      </c>
      <c r="C127" s="5" t="s">
        <v>28</v>
      </c>
      <c r="D127" s="6">
        <v>0</v>
      </c>
      <c r="E127" s="6">
        <v>0</v>
      </c>
      <c r="F127" s="6">
        <v>120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12</v>
      </c>
      <c r="O127" s="6">
        <v>12</v>
      </c>
      <c r="P127" s="7">
        <v>0</v>
      </c>
      <c r="Q127" s="7">
        <v>12</v>
      </c>
      <c r="R127" s="7">
        <v>0</v>
      </c>
      <c r="S127" s="13">
        <v>0</v>
      </c>
      <c r="T127" s="15">
        <v>6.59</v>
      </c>
      <c r="U127" s="8">
        <f>IF(S127="",0,S127)*T127</f>
        <v>0</v>
      </c>
    </row>
    <row r="128" spans="1:21" x14ac:dyDescent="0.25">
      <c r="A128" s="9" t="s">
        <v>213</v>
      </c>
      <c r="B128" s="10"/>
      <c r="C128" s="11" t="s">
        <v>30</v>
      </c>
      <c r="D128" s="12">
        <v>1</v>
      </c>
      <c r="E128" s="12">
        <v>5</v>
      </c>
      <c r="F128" s="12">
        <v>79</v>
      </c>
      <c r="G128" s="12">
        <v>3</v>
      </c>
      <c r="H128" s="12">
        <v>5</v>
      </c>
      <c r="I128" s="12">
        <v>3</v>
      </c>
      <c r="J128" s="12">
        <v>9</v>
      </c>
      <c r="K128" s="12">
        <v>42</v>
      </c>
      <c r="L128" s="12">
        <v>8</v>
      </c>
      <c r="M128" s="12">
        <v>0</v>
      </c>
      <c r="N128" s="12">
        <v>0</v>
      </c>
      <c r="O128" s="12">
        <v>9</v>
      </c>
      <c r="P128" s="10"/>
      <c r="Q128" s="10"/>
      <c r="R128" s="10"/>
      <c r="S128" s="14"/>
      <c r="T128" s="14"/>
    </row>
    <row r="129" spans="1:21" x14ac:dyDescent="0.25">
      <c r="A129" s="3" t="s">
        <v>214</v>
      </c>
      <c r="B129" s="4" t="s">
        <v>215</v>
      </c>
      <c r="C129" s="5" t="s">
        <v>28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60</v>
      </c>
      <c r="N129" s="6">
        <v>0</v>
      </c>
      <c r="O129" s="6">
        <v>0</v>
      </c>
      <c r="P129" s="7">
        <v>0</v>
      </c>
      <c r="Q129" s="7">
        <v>12</v>
      </c>
      <c r="R129" s="7">
        <v>0</v>
      </c>
      <c r="S129" s="13">
        <v>0</v>
      </c>
      <c r="T129" s="15">
        <v>7.49</v>
      </c>
      <c r="U129" s="8">
        <f>IF(S129="",0,S129)*T129</f>
        <v>0</v>
      </c>
    </row>
    <row r="130" spans="1:21" x14ac:dyDescent="0.25">
      <c r="A130" s="9" t="s">
        <v>216</v>
      </c>
      <c r="B130" s="10"/>
      <c r="C130" s="11" t="s">
        <v>30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4</v>
      </c>
      <c r="N130" s="12">
        <v>56</v>
      </c>
      <c r="O130" s="12">
        <v>0</v>
      </c>
      <c r="P130" s="10"/>
      <c r="Q130" s="10"/>
      <c r="R130" s="10"/>
      <c r="S130" s="14"/>
      <c r="T130" s="14"/>
    </row>
    <row r="131" spans="1:21" x14ac:dyDescent="0.25">
      <c r="A131" s="3" t="s">
        <v>217</v>
      </c>
      <c r="B131" s="4" t="s">
        <v>218</v>
      </c>
      <c r="C131" s="5" t="s">
        <v>28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12</v>
      </c>
      <c r="P131" s="7">
        <v>0</v>
      </c>
      <c r="Q131" s="7">
        <v>12</v>
      </c>
      <c r="R131" s="7">
        <v>0</v>
      </c>
      <c r="S131" s="13">
        <v>0</v>
      </c>
      <c r="T131" s="15">
        <v>4.67</v>
      </c>
      <c r="U131" s="8">
        <f>IF(S131="",0,S131)*T131</f>
        <v>0</v>
      </c>
    </row>
    <row r="132" spans="1:21" x14ac:dyDescent="0.25">
      <c r="A132" s="9" t="s">
        <v>219</v>
      </c>
      <c r="B132" s="10"/>
      <c r="C132" s="11" t="s">
        <v>30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12</v>
      </c>
      <c r="P132" s="10"/>
      <c r="Q132" s="10"/>
      <c r="R132" s="10"/>
      <c r="S132" s="14"/>
      <c r="T132" s="14"/>
    </row>
    <row r="133" spans="1:21" x14ac:dyDescent="0.25">
      <c r="A133" s="3" t="s">
        <v>220</v>
      </c>
      <c r="B133" s="4" t="s">
        <v>221</v>
      </c>
      <c r="C133" s="5" t="s">
        <v>28</v>
      </c>
      <c r="D133" s="6">
        <v>0</v>
      </c>
      <c r="E133" s="6">
        <v>0</v>
      </c>
      <c r="F133" s="6">
        <v>144</v>
      </c>
      <c r="G133" s="6">
        <v>24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7">
        <v>79</v>
      </c>
      <c r="Q133" s="7">
        <v>24</v>
      </c>
      <c r="R133" s="7">
        <v>0</v>
      </c>
      <c r="S133" s="13">
        <v>0</v>
      </c>
      <c r="T133" s="15">
        <v>3.69</v>
      </c>
      <c r="U133" s="8">
        <f>IF(S133="",0,S133)*T133</f>
        <v>0</v>
      </c>
    </row>
    <row r="134" spans="1:21" x14ac:dyDescent="0.25">
      <c r="A134" s="9" t="s">
        <v>222</v>
      </c>
      <c r="B134" s="10"/>
      <c r="C134" s="11" t="s">
        <v>30</v>
      </c>
      <c r="D134" s="12">
        <v>0</v>
      </c>
      <c r="E134" s="12">
        <v>0</v>
      </c>
      <c r="F134" s="12">
        <v>72</v>
      </c>
      <c r="G134" s="12">
        <v>0</v>
      </c>
      <c r="H134" s="12">
        <v>0</v>
      </c>
      <c r="I134" s="12">
        <v>0</v>
      </c>
      <c r="J134" s="12">
        <v>1</v>
      </c>
      <c r="K134" s="12">
        <v>2</v>
      </c>
      <c r="L134" s="12">
        <v>4</v>
      </c>
      <c r="M134" s="12">
        <v>5</v>
      </c>
      <c r="N134" s="12">
        <v>5</v>
      </c>
      <c r="O134" s="12">
        <v>0</v>
      </c>
      <c r="P134" s="10"/>
      <c r="Q134" s="10"/>
      <c r="R134" s="10"/>
      <c r="S134" s="14"/>
      <c r="T134" s="14"/>
    </row>
    <row r="135" spans="1:21" x14ac:dyDescent="0.25">
      <c r="A135" s="3" t="s">
        <v>223</v>
      </c>
      <c r="B135" s="4" t="s">
        <v>224</v>
      </c>
      <c r="C135" s="5" t="s">
        <v>28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12</v>
      </c>
      <c r="L135" s="6">
        <v>0</v>
      </c>
      <c r="M135" s="6">
        <v>0</v>
      </c>
      <c r="N135" s="6">
        <v>12</v>
      </c>
      <c r="O135" s="6">
        <v>0</v>
      </c>
      <c r="P135" s="7">
        <v>3</v>
      </c>
      <c r="Q135" s="7">
        <v>6</v>
      </c>
      <c r="R135" s="7">
        <v>0</v>
      </c>
      <c r="S135" s="13">
        <v>0</v>
      </c>
      <c r="T135" s="15">
        <v>3.92</v>
      </c>
      <c r="U135" s="8">
        <f>IF(S135="",0,S135)*T135</f>
        <v>0</v>
      </c>
    </row>
    <row r="136" spans="1:21" x14ac:dyDescent="0.25">
      <c r="A136" s="9" t="s">
        <v>225</v>
      </c>
      <c r="B136" s="10"/>
      <c r="C136" s="11" t="s">
        <v>30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7</v>
      </c>
      <c r="L136" s="12">
        <v>1</v>
      </c>
      <c r="M136" s="12">
        <v>4</v>
      </c>
      <c r="N136" s="12">
        <v>4</v>
      </c>
      <c r="O136" s="12">
        <v>5</v>
      </c>
      <c r="P136" s="10"/>
      <c r="Q136" s="10"/>
      <c r="R136" s="10"/>
      <c r="S136" s="14"/>
      <c r="T136" s="14"/>
    </row>
    <row r="137" spans="1:21" x14ac:dyDescent="0.25">
      <c r="A137" s="3" t="s">
        <v>226</v>
      </c>
      <c r="B137" s="4" t="s">
        <v>227</v>
      </c>
      <c r="C137" s="5" t="s">
        <v>28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24</v>
      </c>
      <c r="N137" s="6">
        <v>0</v>
      </c>
      <c r="O137" s="6">
        <v>0</v>
      </c>
      <c r="P137" s="7">
        <v>2</v>
      </c>
      <c r="Q137" s="7">
        <v>12</v>
      </c>
      <c r="R137" s="7">
        <v>0</v>
      </c>
      <c r="S137" s="13">
        <v>0</v>
      </c>
      <c r="T137" s="15">
        <v>3.99</v>
      </c>
      <c r="U137" s="8">
        <f>IF(S137="",0,S137)*T137</f>
        <v>0</v>
      </c>
    </row>
    <row r="138" spans="1:21" x14ac:dyDescent="0.25">
      <c r="A138" s="9" t="s">
        <v>228</v>
      </c>
      <c r="B138" s="10"/>
      <c r="C138" s="11" t="s">
        <v>30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22</v>
      </c>
      <c r="N138" s="12">
        <v>0</v>
      </c>
      <c r="O138" s="12">
        <v>0</v>
      </c>
      <c r="P138" s="10"/>
      <c r="Q138" s="10"/>
      <c r="R138" s="10"/>
      <c r="S138" s="14"/>
      <c r="T138" s="14"/>
    </row>
  </sheetData>
  <mergeCells count="149">
    <mergeCell ref="S21:S22"/>
    <mergeCell ref="S81:S82"/>
    <mergeCell ref="T49:T50"/>
    <mergeCell ref="T101:T102"/>
    <mergeCell ref="S31:S32"/>
    <mergeCell ref="T61:T62"/>
    <mergeCell ref="A3:A4"/>
    <mergeCell ref="S9:S10"/>
    <mergeCell ref="S69:S70"/>
    <mergeCell ref="T89:T90"/>
    <mergeCell ref="T129:T130"/>
    <mergeCell ref="S53:S54"/>
    <mergeCell ref="S5:S6"/>
    <mergeCell ref="S133:S134"/>
    <mergeCell ref="T51:T52"/>
    <mergeCell ref="S127:S128"/>
    <mergeCell ref="S99:S100"/>
    <mergeCell ref="T131:T132"/>
    <mergeCell ref="S55:S56"/>
    <mergeCell ref="T23:T24"/>
    <mergeCell ref="T115:T116"/>
    <mergeCell ref="S45:S46"/>
    <mergeCell ref="S119:S120"/>
    <mergeCell ref="T105:T106"/>
    <mergeCell ref="T43:T44"/>
    <mergeCell ref="S29:S30"/>
    <mergeCell ref="T39:T40"/>
    <mergeCell ref="S109:S110"/>
    <mergeCell ref="S47:S48"/>
    <mergeCell ref="T137:T138"/>
    <mergeCell ref="T29:T30"/>
    <mergeCell ref="S27:S28"/>
    <mergeCell ref="T65:T66"/>
    <mergeCell ref="T121:T122"/>
    <mergeCell ref="S93:S94"/>
    <mergeCell ref="S107:S108"/>
    <mergeCell ref="S101:S102"/>
    <mergeCell ref="A1:T1"/>
    <mergeCell ref="T71:T72"/>
    <mergeCell ref="T123:T124"/>
    <mergeCell ref="S13:S14"/>
    <mergeCell ref="T113:T114"/>
    <mergeCell ref="T85:T86"/>
    <mergeCell ref="S15:S16"/>
    <mergeCell ref="A2:E2"/>
    <mergeCell ref="P3:P4"/>
    <mergeCell ref="R3:R4"/>
    <mergeCell ref="S79:S80"/>
    <mergeCell ref="S135:S136"/>
    <mergeCell ref="T99:T100"/>
    <mergeCell ref="T19:T20"/>
    <mergeCell ref="T77:T78"/>
    <mergeCell ref="S63:S64"/>
    <mergeCell ref="C3:C4"/>
    <mergeCell ref="T37:T38"/>
    <mergeCell ref="T95:T96"/>
    <mergeCell ref="S41:S42"/>
    <mergeCell ref="S121:S122"/>
    <mergeCell ref="S115:S116"/>
    <mergeCell ref="S11:S12"/>
    <mergeCell ref="T45:T46"/>
    <mergeCell ref="T57:T58"/>
    <mergeCell ref="T97:T98"/>
    <mergeCell ref="S105:S106"/>
    <mergeCell ref="S43:S44"/>
    <mergeCell ref="T67:T68"/>
    <mergeCell ref="S95:S96"/>
    <mergeCell ref="T33:T34"/>
    <mergeCell ref="T5:T6"/>
    <mergeCell ref="T53:T54"/>
    <mergeCell ref="T47:T48"/>
    <mergeCell ref="S17:S18"/>
    <mergeCell ref="S77:S78"/>
    <mergeCell ref="T103:T104"/>
    <mergeCell ref="G3:O3"/>
    <mergeCell ref="T59:T60"/>
    <mergeCell ref="S67:S68"/>
    <mergeCell ref="B3:B4"/>
    <mergeCell ref="S117:S118"/>
    <mergeCell ref="T83:T84"/>
    <mergeCell ref="S111:S112"/>
    <mergeCell ref="S7:S8"/>
    <mergeCell ref="T9:T10"/>
    <mergeCell ref="S39:S40"/>
    <mergeCell ref="S131:S132"/>
    <mergeCell ref="T117:T118"/>
    <mergeCell ref="T17:T18"/>
    <mergeCell ref="D3:F3"/>
    <mergeCell ref="T55:T56"/>
    <mergeCell ref="S37:S38"/>
    <mergeCell ref="T69:T70"/>
    <mergeCell ref="S97:S98"/>
    <mergeCell ref="S103:S104"/>
    <mergeCell ref="S87:S88"/>
    <mergeCell ref="T119:T120"/>
    <mergeCell ref="S65:S66"/>
    <mergeCell ref="T109:T110"/>
    <mergeCell ref="T3:T4"/>
    <mergeCell ref="S89:S90"/>
    <mergeCell ref="S129:S130"/>
    <mergeCell ref="T31:T32"/>
    <mergeCell ref="S137:S138"/>
    <mergeCell ref="T21:T22"/>
    <mergeCell ref="T79:T80"/>
    <mergeCell ref="T135:T136"/>
    <mergeCell ref="T73:T74"/>
    <mergeCell ref="T41:T42"/>
    <mergeCell ref="S49:S50"/>
    <mergeCell ref="T81:T82"/>
    <mergeCell ref="T11:T12"/>
    <mergeCell ref="S83:S84"/>
    <mergeCell ref="S123:S124"/>
    <mergeCell ref="T13:T14"/>
    <mergeCell ref="T107:T108"/>
    <mergeCell ref="S33:S34"/>
    <mergeCell ref="T75:T76"/>
    <mergeCell ref="S91:S92"/>
    <mergeCell ref="T15:T16"/>
    <mergeCell ref="T27:T28"/>
    <mergeCell ref="S35:S36"/>
    <mergeCell ref="S75:S76"/>
    <mergeCell ref="S25:S26"/>
    <mergeCell ref="S59:S60"/>
    <mergeCell ref="S85:S86"/>
    <mergeCell ref="T91:T92"/>
    <mergeCell ref="S71:S72"/>
    <mergeCell ref="T87:T88"/>
    <mergeCell ref="F2:H2"/>
    <mergeCell ref="S73:S74"/>
    <mergeCell ref="T35:T36"/>
    <mergeCell ref="T93:T94"/>
    <mergeCell ref="T133:T134"/>
    <mergeCell ref="S23:S24"/>
    <mergeCell ref="S57:S58"/>
    <mergeCell ref="T25:T26"/>
    <mergeCell ref="T7:T8"/>
    <mergeCell ref="N2:T2"/>
    <mergeCell ref="Q3:Q4"/>
    <mergeCell ref="S3:S4"/>
    <mergeCell ref="S125:S126"/>
    <mergeCell ref="T63:T64"/>
    <mergeCell ref="S61:S62"/>
    <mergeCell ref="T111:T112"/>
    <mergeCell ref="S51:S52"/>
    <mergeCell ref="S113:S114"/>
    <mergeCell ref="T125:T126"/>
    <mergeCell ref="T127:T128"/>
    <mergeCell ref="J2:M2"/>
    <mergeCell ref="S19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Bistecao</cp:lastModifiedBy>
  <dcterms:created xsi:type="dcterms:W3CDTF">2026-09-28T16:04:46Z</dcterms:created>
  <dcterms:modified xsi:type="dcterms:W3CDTF">2026-09-28T16:10:31Z</dcterms:modified>
</cp:coreProperties>
</file>